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ctrlProps/ctrlProp3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1"/>
  <workbookPr codeName="ThisWorkbook"/>
  <mc:AlternateContent xmlns:mc="http://schemas.openxmlformats.org/markup-compatibility/2006">
    <mc:Choice Requires="x15">
      <x15ac:absPath xmlns:x15ac="http://schemas.microsoft.com/office/spreadsheetml/2010/11/ac" url="/Users/stanislavschlegel/Data/02 Study/01 MBA/01 Curriculum/102 Thesis/99 Final/"/>
    </mc:Choice>
  </mc:AlternateContent>
  <xr:revisionPtr revIDLastSave="0" documentId="13_ncr:1_{3D311942-6AB1-9C40-B367-E33A021E38C1}" xr6:coauthVersionLast="47" xr6:coauthVersionMax="47" xr10:uidLastSave="{00000000-0000-0000-0000-000000000000}"/>
  <bookViews>
    <workbookView xWindow="0" yWindow="0" windowWidth="25600" windowHeight="16000" tabRatio="936" xr2:uid="{B9684782-ACF5-4C3A-AD30-71EEDF59B98A}"/>
  </bookViews>
  <sheets>
    <sheet name="Cover" sheetId="7" r:id="rId1"/>
    <sheet name="Outputs" sheetId="20" r:id="rId2"/>
    <sheet name="Transaction Assumptions" sheetId="18" r:id="rId3"/>
    <sheet name="Forecasting Assumptions" sheetId="12" r:id="rId4"/>
    <sheet name="Model" sheetId="16" r:id="rId5"/>
    <sheet name="-----&gt;" sheetId="11" r:id="rId6"/>
    <sheet name="IS" sheetId="8" r:id="rId7"/>
    <sheet name="BS" sheetId="9" r:id="rId8"/>
    <sheet name="CFS" sheetId="10" r:id="rId9"/>
  </sheets>
  <definedNames>
    <definedName name="_xlnm.Print_Area" localSheetId="0">Cover!$B$1:$L$27</definedName>
    <definedName name="_xlnm.Print_Area" localSheetId="3">'Forecasting Assumptions'!$B$3:$P$86</definedName>
    <definedName name="_xlnm.Print_Area" localSheetId="1">Outputs!$C$3:$R$39,Outputs!$C$42:$R$72</definedName>
    <definedName name="_xlnm.Print_Area" localSheetId="2">'Transaction Assumptions'!$B$3:$N$29,'Transaction Assumptions'!$B$34:$N$60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0" i="20" l="1"/>
  <c r="D69" i="20" s="1"/>
  <c r="D68" i="20" s="1"/>
  <c r="G67" i="20"/>
  <c r="W69" i="20" l="1"/>
  <c r="V50" i="20" s="1"/>
  <c r="H345" i="16"/>
  <c r="P348" i="16" s="1"/>
  <c r="AE56" i="20"/>
  <c r="AL56" i="20"/>
  <c r="AL57" i="20" s="1"/>
  <c r="AL58" i="20" s="1"/>
  <c r="AL59" i="20" s="1"/>
  <c r="AL60" i="20" s="1"/>
  <c r="AN56" i="20"/>
  <c r="AE57" i="20"/>
  <c r="AN57" i="20"/>
  <c r="AE58" i="20"/>
  <c r="AN58" i="20"/>
  <c r="AE59" i="20"/>
  <c r="AN59" i="20"/>
  <c r="AE60" i="20"/>
  <c r="AN60" i="20"/>
  <c r="AE61" i="20"/>
  <c r="AJ61" i="20"/>
  <c r="AK61" i="20"/>
  <c r="AL61" i="20"/>
  <c r="AN61" i="20"/>
  <c r="AA57" i="20"/>
  <c r="B9" i="7" a="1"/>
  <c r="B9" i="7" s="1"/>
  <c r="B8" i="7" a="1"/>
  <c r="B8" i="7" s="1"/>
  <c r="B7" i="7" a="1"/>
  <c r="B7" i="7" s="1"/>
  <c r="B6" i="7" a="1"/>
  <c r="B6" i="7" s="1"/>
  <c r="B5" i="7" a="1"/>
  <c r="B5" i="7" s="1"/>
  <c r="H344" i="16"/>
  <c r="L255" i="16" l="1"/>
  <c r="M255" i="16"/>
  <c r="N255" i="16"/>
  <c r="O255" i="16"/>
  <c r="P255" i="16"/>
  <c r="Q255" i="16"/>
  <c r="R255" i="16"/>
  <c r="S255" i="16"/>
  <c r="T255" i="16"/>
  <c r="K255" i="16"/>
  <c r="T244" i="16"/>
  <c r="S244" i="16"/>
  <c r="R244" i="16"/>
  <c r="Q244" i="16"/>
  <c r="P244" i="16"/>
  <c r="O244" i="16"/>
  <c r="N244" i="16"/>
  <c r="M244" i="16"/>
  <c r="L244" i="16"/>
  <c r="K244" i="16"/>
  <c r="H230" i="16"/>
  <c r="E50" i="18"/>
  <c r="F50" i="18" s="1"/>
  <c r="G50" i="18" s="1"/>
  <c r="H50" i="18" s="1"/>
  <c r="I50" i="18" s="1"/>
  <c r="J50" i="18" s="1"/>
  <c r="K50" i="18" s="1"/>
  <c r="L50" i="18" s="1"/>
  <c r="M50" i="18" s="1"/>
  <c r="C42" i="18"/>
  <c r="H203" i="16"/>
  <c r="B6" i="16" l="1" a="1"/>
  <c r="B6" i="16" s="1"/>
  <c r="C16" i="20" s="1"/>
  <c r="H354" i="16"/>
  <c r="H355" i="16"/>
  <c r="P360" i="16" s="1"/>
  <c r="H346" i="16"/>
  <c r="F147" i="16"/>
  <c r="K5" i="16"/>
  <c r="F13" i="20"/>
  <c r="F12" i="20"/>
  <c r="F7" i="20"/>
  <c r="L7" i="20"/>
  <c r="Q8" i="20"/>
  <c r="Q7" i="20"/>
  <c r="V51" i="20"/>
  <c r="W51" i="20"/>
  <c r="R378" i="16"/>
  <c r="C23" i="18"/>
  <c r="C11" i="18"/>
  <c r="C14" i="18" s="1"/>
  <c r="C22" i="18"/>
  <c r="Q348" i="16" l="1"/>
  <c r="R348" i="16" s="1"/>
  <c r="S348" i="16" s="1"/>
  <c r="T348" i="16" s="1"/>
  <c r="B174" i="16"/>
  <c r="B33" i="16"/>
  <c r="B241" i="16"/>
  <c r="B276" i="16"/>
  <c r="B90" i="16"/>
  <c r="B311" i="16"/>
  <c r="B59" i="16"/>
  <c r="B116" i="16"/>
  <c r="B331" i="16"/>
  <c r="B218" i="16"/>
  <c r="B128" i="16"/>
  <c r="B369" i="16"/>
  <c r="B142" i="16"/>
  <c r="S378" i="16"/>
  <c r="M378" i="16"/>
  <c r="J378" i="16"/>
  <c r="L378" i="16"/>
  <c r="T378" i="16"/>
  <c r="P378" i="16"/>
  <c r="Q378" i="16"/>
  <c r="O378" i="16"/>
  <c r="N378" i="16"/>
  <c r="C24" i="18"/>
  <c r="K378" i="16"/>
  <c r="U49" i="20"/>
  <c r="AH57" i="20" s="1"/>
  <c r="J50" i="16"/>
  <c r="C16" i="18"/>
  <c r="J8" i="18" s="1"/>
  <c r="O67" i="20"/>
  <c r="G21" i="12" a="1"/>
  <c r="G21" i="12" s="1"/>
  <c r="M324" i="16"/>
  <c r="L324" i="16"/>
  <c r="N324" i="16"/>
  <c r="O324" i="16"/>
  <c r="P324" i="16"/>
  <c r="Q324" i="16"/>
  <c r="R324" i="16"/>
  <c r="S324" i="16"/>
  <c r="T324" i="16"/>
  <c r="K324" i="16"/>
  <c r="K78" i="16" s="1"/>
  <c r="J19" i="16"/>
  <c r="J21" i="16" s="1"/>
  <c r="D397" i="16"/>
  <c r="D398" i="16" s="1"/>
  <c r="D399" i="16" s="1"/>
  <c r="D400" i="16" s="1"/>
  <c r="D401" i="16" s="1"/>
  <c r="D402" i="16" s="1"/>
  <c r="D403" i="16" s="1"/>
  <c r="D404" i="16" s="1"/>
  <c r="D405" i="16" s="1"/>
  <c r="AA48" i="20" s="1"/>
  <c r="J382" i="16"/>
  <c r="F373" i="16"/>
  <c r="K373" i="16" s="1"/>
  <c r="L373" i="16" s="1"/>
  <c r="M373" i="16" s="1"/>
  <c r="N373" i="16" s="1"/>
  <c r="O373" i="16" s="1"/>
  <c r="P373" i="16" s="1"/>
  <c r="Q373" i="16" s="1"/>
  <c r="R373" i="16" s="1"/>
  <c r="S373" i="16" s="1"/>
  <c r="T373" i="16" s="1"/>
  <c r="D373" i="16"/>
  <c r="J373" i="16" s="1"/>
  <c r="AI57" i="20" l="1"/>
  <c r="AQ57" i="20"/>
  <c r="F8" i="20"/>
  <c r="C25" i="18"/>
  <c r="N8" i="18" s="1"/>
  <c r="N13" i="18" s="1"/>
  <c r="AA50" i="20"/>
  <c r="AA51" i="20"/>
  <c r="AA49" i="20"/>
  <c r="AA53" i="20"/>
  <c r="AA54" i="20"/>
  <c r="AA52" i="20"/>
  <c r="AA55" i="20"/>
  <c r="AA56" i="20"/>
  <c r="C17" i="18"/>
  <c r="F6" i="20" s="1"/>
  <c r="X51" i="20"/>
  <c r="L70" i="20"/>
  <c r="F67" i="20"/>
  <c r="N67" i="20" s="1"/>
  <c r="D71" i="20"/>
  <c r="D72" i="20" s="1"/>
  <c r="L72" i="20" s="1"/>
  <c r="L69" i="20"/>
  <c r="L68" i="20"/>
  <c r="H67" i="20"/>
  <c r="I45" i="16"/>
  <c r="J45" i="16" s="1"/>
  <c r="F9" i="20" l="1"/>
  <c r="I36" i="16"/>
  <c r="L6" i="20"/>
  <c r="J13" i="18"/>
  <c r="Q6" i="20"/>
  <c r="Q9" i="20" s="1"/>
  <c r="L71" i="20"/>
  <c r="E67" i="20"/>
  <c r="M67" i="20" s="1"/>
  <c r="I67" i="20"/>
  <c r="Q67" i="20" s="1"/>
  <c r="P67" i="20"/>
  <c r="H36" i="16"/>
  <c r="H50" i="16"/>
  <c r="H49" i="16"/>
  <c r="H48" i="16"/>
  <c r="J48" i="16" s="1"/>
  <c r="H44" i="16"/>
  <c r="J44" i="16" s="1"/>
  <c r="H39" i="16"/>
  <c r="J39" i="16" s="1"/>
  <c r="K39" i="16" s="1"/>
  <c r="L39" i="16" s="1"/>
  <c r="M39" i="16" s="1"/>
  <c r="N39" i="16" s="1"/>
  <c r="O39" i="16" s="1"/>
  <c r="P39" i="16" s="1"/>
  <c r="Q39" i="16" s="1"/>
  <c r="R39" i="16" s="1"/>
  <c r="S39" i="16" s="1"/>
  <c r="T39" i="16" s="1"/>
  <c r="H38" i="16"/>
  <c r="H37" i="16"/>
  <c r="J37" i="16" s="1"/>
  <c r="K48" i="16" l="1"/>
  <c r="L48" i="16" s="1"/>
  <c r="M48" i="16" s="1"/>
  <c r="N48" i="16" s="1"/>
  <c r="O48" i="16" s="1"/>
  <c r="P48" i="16" s="1"/>
  <c r="Q48" i="16" s="1"/>
  <c r="R48" i="16" s="1"/>
  <c r="S48" i="16" s="1"/>
  <c r="T48" i="16" s="1"/>
  <c r="I8" i="18"/>
  <c r="J383" i="16"/>
  <c r="J384" i="16" s="1"/>
  <c r="H51" i="16"/>
  <c r="K67" i="16" l="1"/>
  <c r="I11" i="18"/>
  <c r="J11" i="18" s="1"/>
  <c r="D20" i="20" s="1"/>
  <c r="J388" i="16"/>
  <c r="P185" i="16" l="1"/>
  <c r="Q185" i="16"/>
  <c r="R185" i="16"/>
  <c r="S185" i="16"/>
  <c r="T185" i="16"/>
  <c r="J325" i="16"/>
  <c r="K322" i="16" s="1"/>
  <c r="E80" i="12"/>
  <c r="H80" i="12"/>
  <c r="I80" i="12" s="1"/>
  <c r="J80" i="12" s="1"/>
  <c r="K80" i="12" s="1"/>
  <c r="L80" i="12" s="1"/>
  <c r="M80" i="12" s="1"/>
  <c r="N80" i="12" s="1"/>
  <c r="O80" i="12" s="1"/>
  <c r="P80" i="12" s="1"/>
  <c r="P95" i="12" a="1"/>
  <c r="P95" i="12" s="1"/>
  <c r="O95" i="12" a="1"/>
  <c r="O95" i="12" s="1"/>
  <c r="N95" i="12" a="1"/>
  <c r="N95" i="12" s="1"/>
  <c r="M95" i="12" a="1"/>
  <c r="M95" i="12" s="1"/>
  <c r="L95" i="12" a="1"/>
  <c r="L95" i="12" s="1"/>
  <c r="K95" i="12" a="1"/>
  <c r="K95" i="12" s="1"/>
  <c r="J95" i="12" a="1"/>
  <c r="J95" i="12" s="1"/>
  <c r="I95" i="12" a="1"/>
  <c r="I95" i="12" s="1"/>
  <c r="H95" i="12" a="1"/>
  <c r="H95" i="12" s="1"/>
  <c r="G95" i="12" a="1"/>
  <c r="G95" i="12" s="1"/>
  <c r="P88" i="12" a="1"/>
  <c r="P88" i="12" s="1"/>
  <c r="O88" i="12" a="1"/>
  <c r="O88" i="12" s="1"/>
  <c r="N88" i="12" a="1"/>
  <c r="N88" i="12" s="1"/>
  <c r="M88" i="12" a="1"/>
  <c r="M88" i="12" s="1"/>
  <c r="L88" i="12" a="1"/>
  <c r="L88" i="12" s="1"/>
  <c r="K88" i="12" a="1"/>
  <c r="K88" i="12" s="1"/>
  <c r="J88" i="12" a="1"/>
  <c r="J88" i="12" s="1"/>
  <c r="I88" i="12" a="1"/>
  <c r="I88" i="12" s="1"/>
  <c r="H88" i="12" a="1"/>
  <c r="H88" i="12" s="1"/>
  <c r="G88" i="12" a="1"/>
  <c r="G88" i="12" s="1"/>
  <c r="B99" i="12"/>
  <c r="B98" i="12"/>
  <c r="B97" i="12"/>
  <c r="B92" i="12"/>
  <c r="B91" i="12"/>
  <c r="B90" i="12"/>
  <c r="M317" i="16" l="1"/>
  <c r="O316" i="16"/>
  <c r="O317" i="16"/>
  <c r="K316" i="16"/>
  <c r="L316" i="16"/>
  <c r="R317" i="16"/>
  <c r="P316" i="16"/>
  <c r="Q316" i="16"/>
  <c r="P317" i="16"/>
  <c r="Q317" i="16"/>
  <c r="K317" i="16"/>
  <c r="S317" i="16"/>
  <c r="N317" i="16"/>
  <c r="R316" i="16"/>
  <c r="S316" i="16"/>
  <c r="T316" i="16"/>
  <c r="M316" i="16"/>
  <c r="N316" i="16"/>
  <c r="L317" i="16"/>
  <c r="T317" i="16"/>
  <c r="K185" i="16"/>
  <c r="K391" i="16"/>
  <c r="M185" i="16"/>
  <c r="M391" i="16"/>
  <c r="L185" i="16"/>
  <c r="L391" i="16"/>
  <c r="O185" i="16"/>
  <c r="O391" i="16"/>
  <c r="N185" i="16"/>
  <c r="N391" i="16"/>
  <c r="P184" i="16" l="1"/>
  <c r="M184" i="16"/>
  <c r="M77" i="16"/>
  <c r="O184" i="16"/>
  <c r="L184" i="16"/>
  <c r="N77" i="16"/>
  <c r="R184" i="16"/>
  <c r="S184" i="16"/>
  <c r="K184" i="16"/>
  <c r="R77" i="16"/>
  <c r="Q77" i="16"/>
  <c r="T184" i="16"/>
  <c r="S77" i="16"/>
  <c r="P77" i="16"/>
  <c r="T77" i="16"/>
  <c r="Q184" i="16"/>
  <c r="O77" i="16"/>
  <c r="K77" i="16"/>
  <c r="N184" i="16"/>
  <c r="L77" i="16"/>
  <c r="O396" i="16"/>
  <c r="O399" i="16"/>
  <c r="O398" i="16"/>
  <c r="O400" i="16"/>
  <c r="O397" i="16"/>
  <c r="L396" i="16"/>
  <c r="L403" i="16"/>
  <c r="L400" i="16"/>
  <c r="L399" i="16"/>
  <c r="L397" i="16"/>
  <c r="L401" i="16"/>
  <c r="L402" i="16"/>
  <c r="L398" i="16"/>
  <c r="K396" i="16"/>
  <c r="K404" i="16"/>
  <c r="K400" i="16"/>
  <c r="K401" i="16"/>
  <c r="K397" i="16"/>
  <c r="K399" i="16"/>
  <c r="K398" i="16"/>
  <c r="K402" i="16"/>
  <c r="K403" i="16"/>
  <c r="M396" i="16"/>
  <c r="M402" i="16"/>
  <c r="M400" i="16"/>
  <c r="M398" i="16"/>
  <c r="M399" i="16"/>
  <c r="M397" i="16"/>
  <c r="M401" i="16"/>
  <c r="N397" i="16"/>
  <c r="N396" i="16"/>
  <c r="N401" i="16"/>
  <c r="N400" i="16"/>
  <c r="N399" i="16"/>
  <c r="N398" i="16"/>
  <c r="L269" i="16"/>
  <c r="M269" i="16"/>
  <c r="N269" i="16"/>
  <c r="O269" i="16"/>
  <c r="P269" i="16"/>
  <c r="Q269" i="16"/>
  <c r="R269" i="16"/>
  <c r="S269" i="16"/>
  <c r="T269" i="16"/>
  <c r="K269" i="16"/>
  <c r="K186" i="16"/>
  <c r="L254" i="16"/>
  <c r="M254" i="16"/>
  <c r="N254" i="16"/>
  <c r="O254" i="16"/>
  <c r="P254" i="16"/>
  <c r="Q254" i="16"/>
  <c r="R254" i="16"/>
  <c r="S254" i="16"/>
  <c r="T254" i="16"/>
  <c r="K254" i="16"/>
  <c r="L252" i="16"/>
  <c r="M252" i="16"/>
  <c r="N252" i="16"/>
  <c r="O252" i="16"/>
  <c r="P252" i="16"/>
  <c r="Q252" i="16"/>
  <c r="R252" i="16"/>
  <c r="S252" i="16"/>
  <c r="T252" i="16"/>
  <c r="K252" i="16"/>
  <c r="L233" i="16"/>
  <c r="M233" i="16"/>
  <c r="N233" i="16"/>
  <c r="O233" i="16"/>
  <c r="P233" i="16"/>
  <c r="Q233" i="16"/>
  <c r="R233" i="16"/>
  <c r="S233" i="16"/>
  <c r="T233" i="16"/>
  <c r="K233" i="16"/>
  <c r="L224" i="16"/>
  <c r="M224" i="16"/>
  <c r="N224" i="16"/>
  <c r="O224" i="16"/>
  <c r="P224" i="16"/>
  <c r="Q224" i="16"/>
  <c r="R224" i="16"/>
  <c r="S224" i="16"/>
  <c r="T224" i="16"/>
  <c r="K224" i="16"/>
  <c r="L195" i="16"/>
  <c r="M195" i="16"/>
  <c r="N195" i="16"/>
  <c r="O195" i="16"/>
  <c r="P195" i="16"/>
  <c r="Q195" i="16"/>
  <c r="R195" i="16"/>
  <c r="S195" i="16"/>
  <c r="T195" i="16"/>
  <c r="K195" i="16"/>
  <c r="K205" i="16" l="1"/>
  <c r="L205" i="16" s="1"/>
  <c r="M205" i="16" s="1"/>
  <c r="N205" i="16" s="1"/>
  <c r="O205" i="16" s="1"/>
  <c r="P205" i="16" s="1"/>
  <c r="Q205" i="16" s="1"/>
  <c r="R205" i="16" s="1"/>
  <c r="S205" i="16" s="1"/>
  <c r="T205" i="16" s="1"/>
  <c r="C39" i="18"/>
  <c r="L186" i="16"/>
  <c r="J193" i="16" l="1"/>
  <c r="K191" i="16" s="1"/>
  <c r="P186" i="16"/>
  <c r="O186" i="16"/>
  <c r="T186" i="16"/>
  <c r="S186" i="16"/>
  <c r="N186" i="16"/>
  <c r="M186" i="16"/>
  <c r="R186" i="16"/>
  <c r="Q186" i="16"/>
  <c r="J203" i="16" l="1"/>
  <c r="J24" i="16"/>
  <c r="J26" i="16" s="1"/>
  <c r="J36" i="16" l="1"/>
  <c r="E46" i="18"/>
  <c r="F46" i="18" s="1"/>
  <c r="G46" i="18" s="1"/>
  <c r="H46" i="18" s="1"/>
  <c r="I46" i="18" s="1"/>
  <c r="J46" i="18" s="1"/>
  <c r="K46" i="18" s="1"/>
  <c r="L46" i="18" s="1"/>
  <c r="M46" i="18" s="1"/>
  <c r="K82" i="16" l="1"/>
  <c r="K180" i="16" s="1"/>
  <c r="J267" i="16"/>
  <c r="K265" i="16" s="1"/>
  <c r="J9" i="16" l="1"/>
  <c r="H97" i="16"/>
  <c r="B39" i="8" s="1"/>
  <c r="G33" i="12" a="1"/>
  <c r="G33" i="12" s="1"/>
  <c r="H33" i="12" a="1"/>
  <c r="H33" i="12" s="1"/>
  <c r="I33" i="12" a="1"/>
  <c r="I33" i="12" s="1"/>
  <c r="J33" i="12" a="1"/>
  <c r="J33" i="12" s="1"/>
  <c r="K33" i="12" a="1"/>
  <c r="K33" i="12" s="1"/>
  <c r="L33" i="12" a="1"/>
  <c r="L33" i="12" s="1"/>
  <c r="M33" i="12" a="1"/>
  <c r="M33" i="12" s="1"/>
  <c r="N33" i="12" a="1"/>
  <c r="N33" i="12" s="1"/>
  <c r="O33" i="12" a="1"/>
  <c r="O33" i="12" s="1"/>
  <c r="P33" i="12" a="1"/>
  <c r="P33" i="12" s="1"/>
  <c r="H107" i="16"/>
  <c r="H106" i="16"/>
  <c r="J12" i="16"/>
  <c r="W24" i="20"/>
  <c r="J13" i="16"/>
  <c r="J8" i="16"/>
  <c r="J136" i="16"/>
  <c r="K330" i="16" l="1"/>
  <c r="K310" i="16"/>
  <c r="K133" i="16"/>
  <c r="H40" i="16"/>
  <c r="I38" i="16"/>
  <c r="J38" i="16" s="1"/>
  <c r="L67" i="16"/>
  <c r="L5" i="16"/>
  <c r="X24" i="20" s="1"/>
  <c r="K275" i="16"/>
  <c r="K217" i="16"/>
  <c r="K368" i="16"/>
  <c r="K115" i="16"/>
  <c r="K89" i="16"/>
  <c r="K173" i="16"/>
  <c r="K58" i="16"/>
  <c r="K32" i="16"/>
  <c r="K240" i="16"/>
  <c r="K127" i="16"/>
  <c r="H108" i="16"/>
  <c r="J10" i="16"/>
  <c r="J14" i="16" s="1"/>
  <c r="J5" i="16"/>
  <c r="H32" i="16" s="1"/>
  <c r="H270" i="16"/>
  <c r="H259" i="16"/>
  <c r="H235" i="16"/>
  <c r="H206" i="16"/>
  <c r="H197" i="16"/>
  <c r="K159" i="16"/>
  <c r="T119" i="16"/>
  <c r="S119" i="16"/>
  <c r="R119" i="16"/>
  <c r="Q119" i="16"/>
  <c r="P119" i="16"/>
  <c r="O119" i="16"/>
  <c r="N119" i="16"/>
  <c r="M119" i="16"/>
  <c r="L119" i="16"/>
  <c r="K119" i="16"/>
  <c r="J107" i="16"/>
  <c r="I107" i="16"/>
  <c r="J106" i="16"/>
  <c r="I106" i="16"/>
  <c r="J98" i="16"/>
  <c r="D40" i="8" s="1"/>
  <c r="I98" i="16"/>
  <c r="C40" i="8" s="1"/>
  <c r="H98" i="16"/>
  <c r="B40" i="8" s="1"/>
  <c r="J22" i="16" l="1"/>
  <c r="J27" i="16" s="1"/>
  <c r="J62" i="16" s="1"/>
  <c r="O352" i="16"/>
  <c r="M352" i="16"/>
  <c r="K352" i="16"/>
  <c r="L352" i="16"/>
  <c r="N352" i="16"/>
  <c r="J40" i="16"/>
  <c r="J41" i="16" s="1"/>
  <c r="H41" i="16"/>
  <c r="K38" i="16"/>
  <c r="L310" i="16"/>
  <c r="L330" i="16"/>
  <c r="Q391" i="16"/>
  <c r="R391" i="16"/>
  <c r="J127" i="16"/>
  <c r="J89" i="16"/>
  <c r="I89" i="16" s="1"/>
  <c r="H89" i="16" s="1"/>
  <c r="J217" i="16"/>
  <c r="J368" i="16"/>
  <c r="J115" i="16"/>
  <c r="J173" i="16"/>
  <c r="J331" i="16"/>
  <c r="J58" i="16"/>
  <c r="J240" i="16"/>
  <c r="M5" i="16"/>
  <c r="Y24" i="20" s="1"/>
  <c r="L217" i="16"/>
  <c r="L173" i="16"/>
  <c r="L32" i="16"/>
  <c r="L368" i="16"/>
  <c r="L115" i="16"/>
  <c r="L89" i="16"/>
  <c r="L275" i="16"/>
  <c r="L58" i="16"/>
  <c r="L240" i="16"/>
  <c r="L127" i="16"/>
  <c r="M67" i="16"/>
  <c r="E40" i="8"/>
  <c r="P391" i="16"/>
  <c r="S391" i="16"/>
  <c r="S396" i="16" s="1"/>
  <c r="I108" i="16"/>
  <c r="J108" i="16"/>
  <c r="I97" i="16"/>
  <c r="C39" i="8" s="1"/>
  <c r="J97" i="16"/>
  <c r="D39" i="8" s="1"/>
  <c r="T391" i="16"/>
  <c r="L10" i="20" l="1"/>
  <c r="U48" i="20"/>
  <c r="AH56" i="20" s="1"/>
  <c r="J397" i="16"/>
  <c r="J403" i="16"/>
  <c r="L38" i="16"/>
  <c r="P396" i="16"/>
  <c r="P397" i="16"/>
  <c r="P399" i="16"/>
  <c r="P398" i="16"/>
  <c r="Q396" i="16"/>
  <c r="Q397" i="16"/>
  <c r="Q398" i="16"/>
  <c r="R396" i="16"/>
  <c r="R397" i="16"/>
  <c r="M310" i="16"/>
  <c r="M330" i="16"/>
  <c r="C43" i="18"/>
  <c r="J9" i="18"/>
  <c r="N5" i="16"/>
  <c r="Z24" i="20" s="1"/>
  <c r="M368" i="16"/>
  <c r="M115" i="16"/>
  <c r="M89" i="16"/>
  <c r="M173" i="16"/>
  <c r="M58" i="16"/>
  <c r="M240" i="16"/>
  <c r="M275" i="16"/>
  <c r="M32" i="16"/>
  <c r="M127" i="16"/>
  <c r="M217" i="16"/>
  <c r="N67" i="16"/>
  <c r="E39" i="8"/>
  <c r="M38" i="16" l="1"/>
  <c r="L8" i="20"/>
  <c r="AJ56" i="20"/>
  <c r="AK56" i="20"/>
  <c r="AQ56" i="20"/>
  <c r="AM56" i="20"/>
  <c r="AM57" i="20" s="1"/>
  <c r="J396" i="16"/>
  <c r="J402" i="16"/>
  <c r="J405" i="16"/>
  <c r="J401" i="16"/>
  <c r="J49" i="16"/>
  <c r="K49" i="16" s="1"/>
  <c r="L49" i="16" s="1"/>
  <c r="M49" i="16" s="1"/>
  <c r="N49" i="16" s="1"/>
  <c r="O49" i="16" s="1"/>
  <c r="P49" i="16" s="1"/>
  <c r="Q49" i="16" s="1"/>
  <c r="R49" i="16" s="1"/>
  <c r="S49" i="16" s="1"/>
  <c r="T49" i="16" s="1"/>
  <c r="J400" i="16"/>
  <c r="J399" i="16"/>
  <c r="J404" i="16"/>
  <c r="J398" i="16"/>
  <c r="N310" i="16"/>
  <c r="N330" i="16"/>
  <c r="I46" i="16"/>
  <c r="J46" i="16" s="1"/>
  <c r="C40" i="18"/>
  <c r="J10" i="18"/>
  <c r="J318" i="16"/>
  <c r="K315" i="16" s="1"/>
  <c r="K318" i="16" s="1"/>
  <c r="O67" i="16"/>
  <c r="O5" i="16"/>
  <c r="AA24" i="20" s="1"/>
  <c r="N275" i="16"/>
  <c r="N58" i="16"/>
  <c r="N32" i="16"/>
  <c r="N127" i="16"/>
  <c r="N173" i="16"/>
  <c r="N240" i="16"/>
  <c r="N217" i="16"/>
  <c r="N368" i="16"/>
  <c r="N115" i="16"/>
  <c r="N89" i="16"/>
  <c r="N38" i="16" l="1"/>
  <c r="AJ57" i="20"/>
  <c r="AK57" i="20"/>
  <c r="AO57" i="20"/>
  <c r="AI56" i="20"/>
  <c r="V52" i="20"/>
  <c r="L9" i="20"/>
  <c r="L11" i="20" s="1"/>
  <c r="O310" i="16"/>
  <c r="O330" i="16"/>
  <c r="I47" i="16"/>
  <c r="J47" i="16" s="1"/>
  <c r="J51" i="16" s="1"/>
  <c r="J53" i="16" s="1"/>
  <c r="C41" i="18"/>
  <c r="J231" i="16"/>
  <c r="K228" i="16" s="1"/>
  <c r="K229" i="16" s="1"/>
  <c r="P5" i="16"/>
  <c r="AB24" i="20" s="1"/>
  <c r="O173" i="16"/>
  <c r="O240" i="16"/>
  <c r="O58" i="16"/>
  <c r="O32" i="16"/>
  <c r="O127" i="16"/>
  <c r="O217" i="16"/>
  <c r="O368" i="16"/>
  <c r="O115" i="16"/>
  <c r="O89" i="16"/>
  <c r="O275" i="16"/>
  <c r="P67" i="16"/>
  <c r="O38" i="16" l="1"/>
  <c r="AP57" i="20"/>
  <c r="AO56" i="20"/>
  <c r="AP56" i="20"/>
  <c r="P310" i="16"/>
  <c r="P330" i="16"/>
  <c r="J249" i="16"/>
  <c r="Q67" i="16"/>
  <c r="Q5" i="16"/>
  <c r="AC24" i="20" s="1"/>
  <c r="P58" i="16"/>
  <c r="P32" i="16"/>
  <c r="P240" i="16"/>
  <c r="P127" i="16"/>
  <c r="P217" i="16"/>
  <c r="P368" i="16"/>
  <c r="P115" i="16"/>
  <c r="P89" i="16"/>
  <c r="P275" i="16"/>
  <c r="P173" i="16"/>
  <c r="P38" i="16" l="1"/>
  <c r="Q310" i="16"/>
  <c r="Q330" i="16"/>
  <c r="K246" i="16"/>
  <c r="K247" i="16" s="1"/>
  <c r="P352" i="16"/>
  <c r="R5" i="16"/>
  <c r="AD24" i="20" s="1"/>
  <c r="Q240" i="16"/>
  <c r="Q217" i="16"/>
  <c r="Q89" i="16"/>
  <c r="Q127" i="16"/>
  <c r="Q368" i="16"/>
  <c r="Q115" i="16"/>
  <c r="Q275" i="16"/>
  <c r="Q173" i="16"/>
  <c r="Q58" i="16"/>
  <c r="Q32" i="16"/>
  <c r="R67" i="16"/>
  <c r="Q38" i="16" l="1"/>
  <c r="K76" i="16"/>
  <c r="K183" i="16"/>
  <c r="K338" i="16" s="1"/>
  <c r="R310" i="16"/>
  <c r="R330" i="16"/>
  <c r="K281" i="16"/>
  <c r="S67" i="16"/>
  <c r="Q352" i="16"/>
  <c r="Q360" i="16" s="1"/>
  <c r="S5" i="16"/>
  <c r="AE24" i="20" s="1"/>
  <c r="R127" i="16"/>
  <c r="R115" i="16"/>
  <c r="R275" i="16"/>
  <c r="R217" i="16"/>
  <c r="R368" i="16"/>
  <c r="R89" i="16"/>
  <c r="R173" i="16"/>
  <c r="R58" i="16"/>
  <c r="R32" i="16"/>
  <c r="R240" i="16"/>
  <c r="R38" i="16" l="1"/>
  <c r="S310" i="16"/>
  <c r="S330" i="16"/>
  <c r="T5" i="16"/>
  <c r="AF24" i="20" s="1"/>
  <c r="S173" i="16"/>
  <c r="S217" i="16"/>
  <c r="S368" i="16"/>
  <c r="S115" i="16"/>
  <c r="S89" i="16"/>
  <c r="S275" i="16"/>
  <c r="S58" i="16"/>
  <c r="S32" i="16"/>
  <c r="S240" i="16"/>
  <c r="S127" i="16"/>
  <c r="R352" i="16"/>
  <c r="R360" i="16" s="1"/>
  <c r="T67" i="16"/>
  <c r="S38" i="16" l="1"/>
  <c r="T310" i="16"/>
  <c r="T330" i="16"/>
  <c r="S352" i="16"/>
  <c r="S360" i="16" s="1"/>
  <c r="T217" i="16"/>
  <c r="T275" i="16"/>
  <c r="T58" i="16"/>
  <c r="T368" i="16"/>
  <c r="T115" i="16"/>
  <c r="T89" i="16"/>
  <c r="T173" i="16"/>
  <c r="T32" i="16"/>
  <c r="T240" i="16"/>
  <c r="T127" i="16"/>
  <c r="T38" i="16" l="1"/>
  <c r="T352" i="16"/>
  <c r="T360" i="16" s="1"/>
  <c r="G71" i="12" l="1" a="1"/>
  <c r="G71" i="12" s="1"/>
  <c r="H71" i="12" a="1"/>
  <c r="H71" i="12" s="1"/>
  <c r="I71" i="12" a="1"/>
  <c r="I71" i="12" s="1"/>
  <c r="H61" i="12"/>
  <c r="I61" i="12" s="1"/>
  <c r="J61" i="12" s="1"/>
  <c r="K61" i="12" s="1"/>
  <c r="L61" i="12" s="1"/>
  <c r="M61" i="12" s="1"/>
  <c r="N61" i="12" s="1"/>
  <c r="O61" i="12" s="1"/>
  <c r="P61" i="12" s="1"/>
  <c r="H42" i="12"/>
  <c r="I42" i="12" s="1"/>
  <c r="J42" i="12" s="1"/>
  <c r="K42" i="12" s="1"/>
  <c r="L42" i="12" s="1"/>
  <c r="M42" i="12" s="1"/>
  <c r="N42" i="12" s="1"/>
  <c r="O42" i="12" s="1"/>
  <c r="P42" i="12" s="1"/>
  <c r="D26" i="8"/>
  <c r="D27" i="8"/>
  <c r="C26" i="8"/>
  <c r="B26" i="8"/>
  <c r="B27" i="8"/>
  <c r="B25" i="8" s="1"/>
  <c r="B75" i="12"/>
  <c r="B74" i="12"/>
  <c r="B73" i="12"/>
  <c r="P71" i="12" a="1"/>
  <c r="P71" i="12" s="1"/>
  <c r="O71" i="12" a="1"/>
  <c r="O71" i="12" s="1"/>
  <c r="N71" i="12" a="1"/>
  <c r="N71" i="12" s="1"/>
  <c r="M71" i="12" a="1"/>
  <c r="M71" i="12" s="1"/>
  <c r="L71" i="12" a="1"/>
  <c r="L71" i="12" s="1"/>
  <c r="K71" i="12" a="1"/>
  <c r="K71" i="12" s="1"/>
  <c r="J71" i="12" a="1"/>
  <c r="J71" i="12" s="1"/>
  <c r="B86" i="12"/>
  <c r="B85" i="12"/>
  <c r="B84" i="12"/>
  <c r="P82" i="12" a="1"/>
  <c r="P82" i="12" s="1"/>
  <c r="O82" i="12" a="1"/>
  <c r="O82" i="12" s="1"/>
  <c r="N82" i="12" a="1"/>
  <c r="N82" i="12" s="1"/>
  <c r="M82" i="12" a="1"/>
  <c r="M82" i="12" s="1"/>
  <c r="L82" i="12" a="1"/>
  <c r="L82" i="12" s="1"/>
  <c r="K82" i="12" a="1"/>
  <c r="K82" i="12" s="1"/>
  <c r="J82" i="12" a="1"/>
  <c r="J82" i="12" s="1"/>
  <c r="I82" i="12" a="1"/>
  <c r="I82" i="12" s="1"/>
  <c r="H82" i="12" a="1"/>
  <c r="H82" i="12" s="1"/>
  <c r="G82" i="12" a="1"/>
  <c r="G82" i="12" s="1"/>
  <c r="B37" i="12"/>
  <c r="B36" i="12"/>
  <c r="B35" i="12"/>
  <c r="P27" i="12" a="1"/>
  <c r="P27" i="12" s="1"/>
  <c r="H27" i="12" a="1"/>
  <c r="H27" i="12" s="1"/>
  <c r="G27" i="12" a="1"/>
  <c r="G27" i="12" s="1"/>
  <c r="P21" i="12" a="1"/>
  <c r="P21" i="12" s="1"/>
  <c r="H21" i="12" a="1"/>
  <c r="H21" i="12" s="1"/>
  <c r="P15" i="12" a="1"/>
  <c r="P15" i="12" s="1"/>
  <c r="O15" i="12" a="1"/>
  <c r="O15" i="12" s="1"/>
  <c r="N15" i="12" a="1"/>
  <c r="N15" i="12" s="1"/>
  <c r="M15" i="12" a="1"/>
  <c r="M15" i="12" s="1"/>
  <c r="L15" i="12" a="1"/>
  <c r="L15" i="12" s="1"/>
  <c r="K15" i="12" a="1"/>
  <c r="K15" i="12" s="1"/>
  <c r="J15" i="12" a="1"/>
  <c r="J15" i="12" s="1"/>
  <c r="I15" i="12" a="1"/>
  <c r="I15" i="12" s="1"/>
  <c r="H15" i="12" a="1"/>
  <c r="H15" i="12" s="1"/>
  <c r="G15" i="12" a="1"/>
  <c r="G15" i="12" s="1"/>
  <c r="P9" i="12" a="1"/>
  <c r="P9" i="12" s="1"/>
  <c r="I9" i="12" a="1"/>
  <c r="I9" i="12" s="1"/>
  <c r="J9" i="12" a="1"/>
  <c r="J9" i="12" s="1"/>
  <c r="K9" i="12" a="1"/>
  <c r="K9" i="12" s="1"/>
  <c r="L9" i="12" a="1"/>
  <c r="L9" i="12" s="1"/>
  <c r="M9" i="12" a="1"/>
  <c r="M9" i="12" s="1"/>
  <c r="N9" i="12" a="1"/>
  <c r="N9" i="12" s="1"/>
  <c r="O9" i="12" a="1"/>
  <c r="O9" i="12" s="1"/>
  <c r="H9" i="12" a="1"/>
  <c r="H9" i="12" s="1"/>
  <c r="G9" i="12" a="1"/>
  <c r="G9" i="12" s="1"/>
  <c r="H5" i="12"/>
  <c r="I5" i="12" s="1"/>
  <c r="J5" i="12" s="1"/>
  <c r="K5" i="12" s="1"/>
  <c r="L5" i="12" s="1"/>
  <c r="M5" i="12" s="1"/>
  <c r="N5" i="12" s="1"/>
  <c r="O5" i="12" s="1"/>
  <c r="P5" i="12" s="1"/>
  <c r="J118" i="16" l="1"/>
  <c r="D28" i="8"/>
  <c r="E28" i="8" s="1"/>
  <c r="D25" i="8"/>
  <c r="K122" i="16"/>
  <c r="N122" i="16"/>
  <c r="L122" i="16"/>
  <c r="Q122" i="16"/>
  <c r="O122" i="16"/>
  <c r="P122" i="16"/>
  <c r="R122" i="16"/>
  <c r="S122" i="16"/>
  <c r="T122" i="16"/>
  <c r="K8" i="16"/>
  <c r="M122" i="16"/>
  <c r="J27" i="12" a="1"/>
  <c r="J27" i="12" s="1"/>
  <c r="I27" i="12" a="1"/>
  <c r="I27" i="12" s="1"/>
  <c r="I21" i="12" a="1"/>
  <c r="I21" i="12" s="1"/>
  <c r="J21" i="12" a="1"/>
  <c r="J21" i="12" s="1"/>
  <c r="B69" i="12"/>
  <c r="B68" i="12"/>
  <c r="B67" i="12"/>
  <c r="E63" i="12"/>
  <c r="B56" i="12"/>
  <c r="B55" i="12"/>
  <c r="B54" i="12"/>
  <c r="B50" i="12"/>
  <c r="B49" i="12"/>
  <c r="B48" i="12"/>
  <c r="E44" i="12"/>
  <c r="I46" i="12" s="1" a="1"/>
  <c r="I46" i="12" s="1"/>
  <c r="B31" i="12"/>
  <c r="B30" i="12"/>
  <c r="B29" i="12"/>
  <c r="B25" i="12"/>
  <c r="B24" i="12"/>
  <c r="B23" i="12"/>
  <c r="B19" i="12"/>
  <c r="B18" i="12"/>
  <c r="B17" i="12"/>
  <c r="K118" i="16" l="1"/>
  <c r="K16" i="16" s="1"/>
  <c r="J16" i="16"/>
  <c r="J17" i="16" s="1"/>
  <c r="J377" i="16" s="1"/>
  <c r="J63" i="16"/>
  <c r="I65" i="12" a="1"/>
  <c r="I65" i="12" s="1"/>
  <c r="J65" i="12" a="1"/>
  <c r="J65" i="12" s="1"/>
  <c r="G65" i="12" a="1"/>
  <c r="G65" i="12" s="1"/>
  <c r="L65" i="12" a="1"/>
  <c r="L65" i="12" s="1"/>
  <c r="M65" i="12" a="1"/>
  <c r="M65" i="12" s="1"/>
  <c r="N65" i="12" a="1"/>
  <c r="N65" i="12" s="1"/>
  <c r="H65" i="12" a="1"/>
  <c r="H65" i="12" s="1"/>
  <c r="O65" i="12" a="1"/>
  <c r="O65" i="12" s="1"/>
  <c r="P65" i="12" a="1"/>
  <c r="P65" i="12" s="1"/>
  <c r="K65" i="12" a="1"/>
  <c r="K65" i="12" s="1"/>
  <c r="K121" i="16"/>
  <c r="K130" i="16" s="1"/>
  <c r="K12" i="16"/>
  <c r="W26" i="20"/>
  <c r="K10" i="16"/>
  <c r="L8" i="16"/>
  <c r="K13" i="16"/>
  <c r="K93" i="16"/>
  <c r="M97" i="16"/>
  <c r="P52" i="12" a="1"/>
  <c r="P52" i="12" s="1"/>
  <c r="H52" i="12" a="1"/>
  <c r="H52" i="12" s="1"/>
  <c r="O52" i="12" a="1"/>
  <c r="O52" i="12" s="1"/>
  <c r="G52" i="12" a="1"/>
  <c r="G52" i="12" s="1"/>
  <c r="K98" i="16" s="1"/>
  <c r="N52" i="12" a="1"/>
  <c r="N52" i="12" s="1"/>
  <c r="M52" i="12" a="1"/>
  <c r="M52" i="12" s="1"/>
  <c r="H46" i="12" a="1"/>
  <c r="H46" i="12" s="1"/>
  <c r="L52" i="12" a="1"/>
  <c r="L52" i="12" s="1"/>
  <c r="G46" i="12" a="1"/>
  <c r="G46" i="12" s="1"/>
  <c r="K52" i="12" a="1"/>
  <c r="K52" i="12" s="1"/>
  <c r="J46" i="12" a="1"/>
  <c r="J46" i="12" s="1"/>
  <c r="J52" i="12" a="1"/>
  <c r="J52" i="12" s="1"/>
  <c r="I52" i="12" a="1"/>
  <c r="I52" i="12" s="1"/>
  <c r="K46" i="12" a="1"/>
  <c r="K46" i="12" s="1"/>
  <c r="K27" i="12" a="1"/>
  <c r="K27" i="12" s="1"/>
  <c r="K21" i="12" a="1"/>
  <c r="K21" i="12" s="1"/>
  <c r="C32" i="8"/>
  <c r="D32" i="8"/>
  <c r="E32" i="8" s="1"/>
  <c r="B32" i="8"/>
  <c r="C37" i="8"/>
  <c r="D37" i="8"/>
  <c r="B37" i="8"/>
  <c r="E37" i="8" s="1"/>
  <c r="C27" i="8"/>
  <c r="D38" i="8"/>
  <c r="B38" i="8"/>
  <c r="C35" i="8"/>
  <c r="D35" i="8"/>
  <c r="C36" i="8"/>
  <c r="D36" i="8"/>
  <c r="B36" i="8"/>
  <c r="E36" i="8" s="1"/>
  <c r="B35" i="8"/>
  <c r="C33" i="8"/>
  <c r="C34" i="8" s="1"/>
  <c r="D33" i="8"/>
  <c r="D34" i="8" s="1"/>
  <c r="B33" i="8"/>
  <c r="J379" i="16" l="1"/>
  <c r="J387" i="16" s="1"/>
  <c r="J389" i="16" s="1"/>
  <c r="B34" i="8"/>
  <c r="E34" i="8" s="1"/>
  <c r="E33" i="8"/>
  <c r="E35" i="8"/>
  <c r="C38" i="8"/>
  <c r="E38" i="8" s="1"/>
  <c r="C25" i="8"/>
  <c r="K14" i="16"/>
  <c r="K17" i="16" s="1"/>
  <c r="L220" i="16"/>
  <c r="L234" i="16" s="1"/>
  <c r="L176" i="16"/>
  <c r="L196" i="16" s="1"/>
  <c r="R176" i="16"/>
  <c r="R196" i="16" s="1"/>
  <c r="R220" i="16"/>
  <c r="R234" i="16" s="1"/>
  <c r="Q220" i="16"/>
  <c r="Q234" i="16" s="1"/>
  <c r="Q176" i="16"/>
  <c r="Q196" i="16" s="1"/>
  <c r="P220" i="16"/>
  <c r="P234" i="16" s="1"/>
  <c r="P176" i="16"/>
  <c r="P196" i="16" s="1"/>
  <c r="K176" i="16"/>
  <c r="K196" i="16" s="1"/>
  <c r="K220" i="16"/>
  <c r="K234" i="16" s="1"/>
  <c r="O176" i="16"/>
  <c r="O196" i="16" s="1"/>
  <c r="O220" i="16"/>
  <c r="O234" i="16" s="1"/>
  <c r="N176" i="16"/>
  <c r="N196" i="16" s="1"/>
  <c r="N220" i="16"/>
  <c r="N234" i="16" s="1"/>
  <c r="T220" i="16"/>
  <c r="T234" i="16" s="1"/>
  <c r="T176" i="16"/>
  <c r="T196" i="16" s="1"/>
  <c r="M220" i="16"/>
  <c r="M234" i="16" s="1"/>
  <c r="M176" i="16"/>
  <c r="M196" i="16" s="1"/>
  <c r="S220" i="16"/>
  <c r="S234" i="16" s="1"/>
  <c r="S176" i="16"/>
  <c r="S196" i="16" s="1"/>
  <c r="K97" i="16"/>
  <c r="K101" i="16" s="1"/>
  <c r="X26" i="20"/>
  <c r="L118" i="16"/>
  <c r="L16" i="16" s="1"/>
  <c r="L121" i="16"/>
  <c r="K9" i="16"/>
  <c r="K94" i="16" s="1"/>
  <c r="L10" i="16"/>
  <c r="M98" i="16"/>
  <c r="K71" i="16"/>
  <c r="K134" i="16"/>
  <c r="K336" i="16"/>
  <c r="L97" i="16"/>
  <c r="N98" i="16"/>
  <c r="Q98" i="16"/>
  <c r="P98" i="16"/>
  <c r="S98" i="16"/>
  <c r="O97" i="16"/>
  <c r="N97" i="16"/>
  <c r="L98" i="16"/>
  <c r="T98" i="16"/>
  <c r="L13" i="16"/>
  <c r="L93" i="16"/>
  <c r="M8" i="16"/>
  <c r="L12" i="16"/>
  <c r="O98" i="16"/>
  <c r="R98" i="16"/>
  <c r="K63" i="16"/>
  <c r="K135" i="16"/>
  <c r="L46" i="12" a="1"/>
  <c r="L46" i="12" s="1"/>
  <c r="L27" i="12" a="1"/>
  <c r="L27" i="12" s="1"/>
  <c r="L21" i="12" a="1"/>
  <c r="L21" i="12" s="1"/>
  <c r="W27" i="20" l="1"/>
  <c r="K377" i="16"/>
  <c r="K379" i="16" s="1"/>
  <c r="K387" i="16" s="1"/>
  <c r="L9" i="16"/>
  <c r="L94" i="16" s="1"/>
  <c r="L102" i="16" s="1"/>
  <c r="L14" i="16"/>
  <c r="L17" i="16" s="1"/>
  <c r="Y26" i="20"/>
  <c r="M121" i="16"/>
  <c r="M118" i="16"/>
  <c r="M16" i="16" s="1"/>
  <c r="M10" i="16"/>
  <c r="M9" i="16" s="1"/>
  <c r="K182" i="16"/>
  <c r="K102" i="16"/>
  <c r="K44" i="16" s="1"/>
  <c r="K136" i="16"/>
  <c r="K40" i="16" s="1"/>
  <c r="K66" i="16" s="1"/>
  <c r="P97" i="16"/>
  <c r="L71" i="16"/>
  <c r="L182" i="16" s="1"/>
  <c r="L130" i="16"/>
  <c r="L336" i="16" s="1"/>
  <c r="L134" i="16"/>
  <c r="L101" i="16"/>
  <c r="M93" i="16"/>
  <c r="M101" i="16" s="1"/>
  <c r="M12" i="16"/>
  <c r="M13" i="16"/>
  <c r="N8" i="16"/>
  <c r="L63" i="16"/>
  <c r="L135" i="16"/>
  <c r="K37" i="16"/>
  <c r="K106" i="16"/>
  <c r="M46" i="12" a="1"/>
  <c r="M46" i="12" s="1"/>
  <c r="M27" i="12" a="1"/>
  <c r="M27" i="12" s="1"/>
  <c r="M21" i="12" a="1"/>
  <c r="M21" i="12" s="1"/>
  <c r="X27" i="20" l="1"/>
  <c r="L377" i="16"/>
  <c r="L379" i="16" s="1"/>
  <c r="L387" i="16" s="1"/>
  <c r="Z26" i="20"/>
  <c r="N121" i="16"/>
  <c r="N118" i="16"/>
  <c r="N16" i="16" s="1"/>
  <c r="N10" i="16"/>
  <c r="N9" i="16" s="1"/>
  <c r="N94" i="16" s="1"/>
  <c r="N102" i="16" s="1"/>
  <c r="K334" i="16"/>
  <c r="K107" i="16"/>
  <c r="K108" i="16" s="1"/>
  <c r="M14" i="16"/>
  <c r="M17" i="16" s="1"/>
  <c r="L133" i="16"/>
  <c r="M94" i="16"/>
  <c r="L37" i="16"/>
  <c r="L106" i="16"/>
  <c r="M63" i="16"/>
  <c r="M135" i="16"/>
  <c r="Q97" i="16"/>
  <c r="M71" i="16"/>
  <c r="M182" i="16" s="1"/>
  <c r="M134" i="16"/>
  <c r="M130" i="16"/>
  <c r="M336" i="16" s="1"/>
  <c r="N93" i="16"/>
  <c r="N101" i="16" s="1"/>
  <c r="N12" i="16"/>
  <c r="O8" i="16"/>
  <c r="N13" i="16"/>
  <c r="L44" i="16"/>
  <c r="L107" i="16"/>
  <c r="M37" i="16"/>
  <c r="M106" i="16"/>
  <c r="N46" i="12" a="1"/>
  <c r="N46" i="12" s="1"/>
  <c r="N27" i="12" a="1"/>
  <c r="N27" i="12" s="1"/>
  <c r="O27" i="12" a="1"/>
  <c r="O27" i="12" s="1"/>
  <c r="O21" i="12" a="1"/>
  <c r="O21" i="12" s="1"/>
  <c r="N21" i="12" a="1"/>
  <c r="N21" i="12" s="1"/>
  <c r="Y27" i="20" l="1"/>
  <c r="M377" i="16"/>
  <c r="M379" i="16" s="1"/>
  <c r="M387" i="16" s="1"/>
  <c r="AA26" i="20"/>
  <c r="O118" i="16"/>
  <c r="O16" i="16" s="1"/>
  <c r="O121" i="16"/>
  <c r="O10" i="16"/>
  <c r="O9" i="16" s="1"/>
  <c r="L334" i="16"/>
  <c r="K110" i="16"/>
  <c r="K65" i="16" s="1"/>
  <c r="L136" i="16"/>
  <c r="M133" i="16" s="1"/>
  <c r="L108" i="16"/>
  <c r="L110" i="16" s="1"/>
  <c r="M102" i="16"/>
  <c r="M44" i="16" s="1"/>
  <c r="N44" i="16"/>
  <c r="N107" i="16"/>
  <c r="N63" i="16"/>
  <c r="N135" i="16"/>
  <c r="R97" i="16"/>
  <c r="O93" i="16"/>
  <c r="O101" i="16" s="1"/>
  <c r="O12" i="16"/>
  <c r="P8" i="16"/>
  <c r="O13" i="16"/>
  <c r="N71" i="16"/>
  <c r="N182" i="16" s="1"/>
  <c r="N130" i="16"/>
  <c r="N336" i="16" s="1"/>
  <c r="N134" i="16"/>
  <c r="N14" i="16"/>
  <c r="N17" i="16" s="1"/>
  <c r="N106" i="16"/>
  <c r="N37" i="16"/>
  <c r="O46" i="12" a="1"/>
  <c r="O46" i="12" s="1"/>
  <c r="Z27" i="20" l="1"/>
  <c r="N377" i="16"/>
  <c r="N379" i="16" s="1"/>
  <c r="N387" i="16" s="1"/>
  <c r="AB26" i="20"/>
  <c r="P118" i="16"/>
  <c r="P16" i="16" s="1"/>
  <c r="P121" i="16"/>
  <c r="P10" i="16"/>
  <c r="P9" i="16" s="1"/>
  <c r="M334" i="16"/>
  <c r="L65" i="16"/>
  <c r="L40" i="16"/>
  <c r="L66" i="16" s="1"/>
  <c r="M107" i="16"/>
  <c r="M108" i="16" s="1"/>
  <c r="M110" i="16" s="1"/>
  <c r="O14" i="16"/>
  <c r="O17" i="16" s="1"/>
  <c r="N108" i="16"/>
  <c r="O106" i="16"/>
  <c r="O37" i="16"/>
  <c r="S97" i="16"/>
  <c r="O94" i="16"/>
  <c r="O102" i="16" s="1"/>
  <c r="O63" i="16"/>
  <c r="O135" i="16"/>
  <c r="P93" i="16"/>
  <c r="P101" i="16" s="1"/>
  <c r="P13" i="16"/>
  <c r="P12" i="16"/>
  <c r="Q8" i="16"/>
  <c r="M136" i="16"/>
  <c r="O71" i="16"/>
  <c r="O182" i="16" s="1"/>
  <c r="O130" i="16"/>
  <c r="O336" i="16" s="1"/>
  <c r="O134" i="16"/>
  <c r="P46" i="12" a="1"/>
  <c r="P46" i="12" s="1"/>
  <c r="AA27" i="20" l="1"/>
  <c r="O377" i="16"/>
  <c r="AC26" i="20"/>
  <c r="Q118" i="16"/>
  <c r="Q16" i="16" s="1"/>
  <c r="Q121" i="16"/>
  <c r="Q10" i="16"/>
  <c r="Q9" i="16" s="1"/>
  <c r="Q94" i="16" s="1"/>
  <c r="N334" i="16"/>
  <c r="M65" i="16"/>
  <c r="N110" i="16"/>
  <c r="N65" i="16" s="1"/>
  <c r="O44" i="16"/>
  <c r="O107" i="16"/>
  <c r="O108" i="16" s="1"/>
  <c r="O110" i="16" s="1"/>
  <c r="P14" i="16"/>
  <c r="P17" i="16" s="1"/>
  <c r="Q93" i="16"/>
  <c r="Q101" i="16" s="1"/>
  <c r="Q12" i="16"/>
  <c r="R8" i="16"/>
  <c r="Q13" i="16"/>
  <c r="P106" i="16"/>
  <c r="P37" i="16"/>
  <c r="P71" i="16"/>
  <c r="P182" i="16" s="1"/>
  <c r="P130" i="16"/>
  <c r="P336" i="16" s="1"/>
  <c r="P134" i="16"/>
  <c r="T97" i="16"/>
  <c r="P63" i="16"/>
  <c r="P135" i="16"/>
  <c r="M40" i="16"/>
  <c r="M66" i="16" s="1"/>
  <c r="N133" i="16"/>
  <c r="P94" i="16"/>
  <c r="P102" i="16" s="1"/>
  <c r="O379" i="16" l="1"/>
  <c r="O387" i="16" s="1"/>
  <c r="AB27" i="20"/>
  <c r="P377" i="16"/>
  <c r="AD26" i="20"/>
  <c r="R121" i="16"/>
  <c r="R118" i="16"/>
  <c r="R16" i="16" s="1"/>
  <c r="R10" i="16"/>
  <c r="R9" i="16" s="1"/>
  <c r="O334" i="16"/>
  <c r="O65" i="16"/>
  <c r="P107" i="16"/>
  <c r="P108" i="16" s="1"/>
  <c r="P110" i="16" s="1"/>
  <c r="P44" i="16"/>
  <c r="Q102" i="16"/>
  <c r="Q71" i="16"/>
  <c r="Q182" i="16" s="1"/>
  <c r="Q130" i="16"/>
  <c r="Q336" i="16" s="1"/>
  <c r="Q134" i="16"/>
  <c r="Q63" i="16"/>
  <c r="Q135" i="16"/>
  <c r="Q14" i="16"/>
  <c r="Q17" i="16" s="1"/>
  <c r="Q106" i="16"/>
  <c r="Q37" i="16"/>
  <c r="N136" i="16"/>
  <c r="R93" i="16"/>
  <c r="R101" i="16" s="1"/>
  <c r="S8" i="16"/>
  <c r="R13" i="16"/>
  <c r="R12" i="16"/>
  <c r="P379" i="16" l="1"/>
  <c r="P387" i="16" s="1"/>
  <c r="W50" i="20"/>
  <c r="X50" i="20" s="1"/>
  <c r="U50" i="20" s="1"/>
  <c r="AC27" i="20"/>
  <c r="Q377" i="16"/>
  <c r="Q379" i="16" s="1"/>
  <c r="Q387" i="16" s="1"/>
  <c r="U51" i="20"/>
  <c r="AH59" i="20" s="1"/>
  <c r="AE26" i="20"/>
  <c r="S121" i="16"/>
  <c r="S118" i="16"/>
  <c r="S16" i="16" s="1"/>
  <c r="S10" i="16"/>
  <c r="S9" i="16" s="1"/>
  <c r="S94" i="16" s="1"/>
  <c r="P334" i="16"/>
  <c r="P65" i="16"/>
  <c r="R14" i="16"/>
  <c r="R17" i="16" s="1"/>
  <c r="N40" i="16"/>
  <c r="N66" i="16" s="1"/>
  <c r="O133" i="16"/>
  <c r="R71" i="16"/>
  <c r="R182" i="16" s="1"/>
  <c r="R130" i="16"/>
  <c r="R336" i="16" s="1"/>
  <c r="R134" i="16"/>
  <c r="S93" i="16"/>
  <c r="S101" i="16" s="1"/>
  <c r="S13" i="16"/>
  <c r="T8" i="16"/>
  <c r="S12" i="16"/>
  <c r="R37" i="16"/>
  <c r="R106" i="16"/>
  <c r="Q107" i="16"/>
  <c r="Q108" i="16" s="1"/>
  <c r="Q110" i="16" s="1"/>
  <c r="Q44" i="16"/>
  <c r="R94" i="16"/>
  <c r="R63" i="16"/>
  <c r="R135" i="16"/>
  <c r="AH58" i="20" l="1"/>
  <c r="AQ59" i="20"/>
  <c r="AI59" i="20"/>
  <c r="AD27" i="20"/>
  <c r="R377" i="16"/>
  <c r="R379" i="16" s="1"/>
  <c r="R387" i="16" s="1"/>
  <c r="AF26" i="20"/>
  <c r="T118" i="16"/>
  <c r="T16" i="16" s="1"/>
  <c r="T121" i="16"/>
  <c r="T10" i="16"/>
  <c r="T9" i="16" s="1"/>
  <c r="Q334" i="16"/>
  <c r="Q65" i="16"/>
  <c r="R102" i="16"/>
  <c r="R44" i="16" s="1"/>
  <c r="S130" i="16"/>
  <c r="S336" i="16" s="1"/>
  <c r="S134" i="16"/>
  <c r="S71" i="16"/>
  <c r="S182" i="16" s="1"/>
  <c r="S106" i="16"/>
  <c r="S37" i="16"/>
  <c r="S102" i="16"/>
  <c r="O136" i="16"/>
  <c r="S63" i="16"/>
  <c r="S135" i="16"/>
  <c r="T93" i="16"/>
  <c r="T101" i="16" s="1"/>
  <c r="T13" i="16"/>
  <c r="T12" i="16"/>
  <c r="S14" i="16"/>
  <c r="S17" i="16" s="1"/>
  <c r="AI58" i="20" l="1"/>
  <c r="AM58" i="20"/>
  <c r="AM59" i="20" s="1"/>
  <c r="AO59" i="20" s="1"/>
  <c r="AQ58" i="20"/>
  <c r="AP59" i="20"/>
  <c r="AE27" i="20"/>
  <c r="S377" i="16"/>
  <c r="S379" i="16" s="1"/>
  <c r="S387" i="16" s="1"/>
  <c r="R334" i="16"/>
  <c r="R107" i="16"/>
  <c r="R108" i="16" s="1"/>
  <c r="R110" i="16" s="1"/>
  <c r="S107" i="16"/>
  <c r="S108" i="16" s="1"/>
  <c r="S44" i="16"/>
  <c r="T14" i="16"/>
  <c r="T17" i="16" s="1"/>
  <c r="O40" i="16"/>
  <c r="O66" i="16" s="1"/>
  <c r="P133" i="16"/>
  <c r="T71" i="16"/>
  <c r="T182" i="16" s="1"/>
  <c r="T130" i="16"/>
  <c r="T336" i="16" s="1"/>
  <c r="T134" i="16"/>
  <c r="T106" i="16"/>
  <c r="T37" i="16"/>
  <c r="T63" i="16"/>
  <c r="T135" i="16"/>
  <c r="T94" i="16"/>
  <c r="AK58" i="20" l="1"/>
  <c r="AJ58" i="20"/>
  <c r="AP58" i="20"/>
  <c r="AF27" i="20"/>
  <c r="T377" i="16"/>
  <c r="T379" i="16" s="1"/>
  <c r="T387" i="16" s="1"/>
  <c r="AK59" i="20"/>
  <c r="AJ59" i="20"/>
  <c r="S334" i="16"/>
  <c r="R65" i="16"/>
  <c r="S110" i="16"/>
  <c r="T102" i="16"/>
  <c r="T107" i="16" s="1"/>
  <c r="T108" i="16" s="1"/>
  <c r="T110" i="16" s="1"/>
  <c r="P136" i="16"/>
  <c r="AO58" i="20" l="1"/>
  <c r="T334" i="16"/>
  <c r="T65" i="16"/>
  <c r="S65" i="16"/>
  <c r="T44" i="16"/>
  <c r="P40" i="16"/>
  <c r="P66" i="16" s="1"/>
  <c r="Q133" i="16"/>
  <c r="Q136" i="16" l="1"/>
  <c r="B23" i="7"/>
  <c r="Q40" i="16" l="1"/>
  <c r="Q66" i="16" s="1"/>
  <c r="R133" i="16"/>
  <c r="R136" i="16" l="1"/>
  <c r="R40" i="16" l="1"/>
  <c r="R66" i="16" s="1"/>
  <c r="S133" i="16"/>
  <c r="S136" i="16" l="1"/>
  <c r="S40" i="16" l="1"/>
  <c r="S66" i="16" s="1"/>
  <c r="T133" i="16"/>
  <c r="T136" i="16" l="1"/>
  <c r="T40" i="16" l="1"/>
  <c r="T66" i="16" s="1"/>
  <c r="C24" i="7" l="1"/>
  <c r="B25" i="7"/>
  <c r="B24" i="7"/>
  <c r="C25" i="7"/>
  <c r="C43" i="20" l="1"/>
  <c r="K201" i="16" l="1"/>
  <c r="K206" i="16" s="1"/>
  <c r="L315" i="16" l="1"/>
  <c r="L318" i="16" s="1"/>
  <c r="M315" i="16" l="1"/>
  <c r="M318" i="16" s="1"/>
  <c r="N315" i="16" l="1"/>
  <c r="N318" i="16" s="1"/>
  <c r="O315" i="16" l="1"/>
  <c r="O318" i="16" s="1"/>
  <c r="P315" i="16" l="1"/>
  <c r="P318" i="16" l="1"/>
  <c r="Q315" i="16" s="1"/>
  <c r="Q318" i="16" s="1"/>
  <c r="R315" i="16" s="1"/>
  <c r="R318" i="16" s="1"/>
  <c r="S315" i="16" s="1"/>
  <c r="S318" i="16" s="1"/>
  <c r="T315" i="16" s="1"/>
  <c r="T318" i="16" s="1"/>
  <c r="C44" i="18" l="1"/>
  <c r="K270" i="16" l="1"/>
  <c r="K298" i="16" s="1"/>
  <c r="K197" i="16" l="1"/>
  <c r="K293" i="16" l="1"/>
  <c r="K235" i="16" l="1"/>
  <c r="K294" i="16" s="1"/>
  <c r="K259" i="16" l="1"/>
  <c r="K248" i="16" s="1"/>
  <c r="K64" i="16" s="1"/>
  <c r="K304" i="16" l="1"/>
  <c r="K20" i="16" s="1"/>
  <c r="K249" i="16"/>
  <c r="L246" i="16" l="1"/>
  <c r="K288" i="16"/>
  <c r="K47" i="16" s="1"/>
  <c r="K258" i="16"/>
  <c r="K295" i="16" s="1"/>
  <c r="L247" i="16" l="1"/>
  <c r="L76" i="16" s="1"/>
  <c r="L259" i="16"/>
  <c r="K296" i="16"/>
  <c r="K260" i="16"/>
  <c r="K299" i="16" l="1"/>
  <c r="K303" i="16" s="1"/>
  <c r="K19" i="16" s="1"/>
  <c r="K21" i="16" s="1"/>
  <c r="L304" i="16"/>
  <c r="L20" i="16" s="1"/>
  <c r="L248" i="16"/>
  <c r="L64" i="16" s="1"/>
  <c r="L281" i="16"/>
  <c r="K305" i="16" l="1"/>
  <c r="K337" i="16" s="1"/>
  <c r="L249" i="16"/>
  <c r="K22" i="16" l="1"/>
  <c r="M246" i="16"/>
  <c r="L258" i="16"/>
  <c r="L288" i="16"/>
  <c r="L47" i="16" s="1"/>
  <c r="K144" i="16" l="1"/>
  <c r="K154" i="16" s="1"/>
  <c r="K145" i="16" s="1"/>
  <c r="K161" i="16" s="1"/>
  <c r="K155" i="16" s="1"/>
  <c r="K156" i="16" s="1"/>
  <c r="K166" i="16" s="1"/>
  <c r="K24" i="16" s="1"/>
  <c r="L295" i="16"/>
  <c r="L260" i="16"/>
  <c r="M247" i="16"/>
  <c r="M259" i="16"/>
  <c r="K160" i="16" l="1"/>
  <c r="K162" i="16" s="1"/>
  <c r="K168" i="16"/>
  <c r="M281" i="16"/>
  <c r="M76" i="16"/>
  <c r="K335" i="16"/>
  <c r="K361" i="16" s="1"/>
  <c r="W31" i="20" s="1"/>
  <c r="M304" i="16"/>
  <c r="M20" i="16" s="1"/>
  <c r="M248" i="16"/>
  <c r="M64" i="16" s="1"/>
  <c r="K167" i="16" l="1"/>
  <c r="K25" i="16" s="1"/>
  <c r="L159" i="16"/>
  <c r="M249" i="16"/>
  <c r="K26" i="16" l="1"/>
  <c r="K27" i="16" s="1"/>
  <c r="M258" i="16"/>
  <c r="N246" i="16"/>
  <c r="M288" i="16"/>
  <c r="M47" i="16" s="1"/>
  <c r="K323" i="16" l="1"/>
  <c r="K325" i="16" s="1"/>
  <c r="L322" i="16" s="1"/>
  <c r="K62" i="16"/>
  <c r="K68" i="16" s="1"/>
  <c r="K181" i="16" s="1"/>
  <c r="K187" i="16" s="1"/>
  <c r="K192" i="16" s="1"/>
  <c r="K50" i="16"/>
  <c r="M295" i="16"/>
  <c r="M260" i="16"/>
  <c r="N247" i="16"/>
  <c r="N259" i="16"/>
  <c r="K212" i="16" l="1"/>
  <c r="K225" i="16" s="1"/>
  <c r="K226" i="16" s="1"/>
  <c r="K230" i="16" s="1"/>
  <c r="K75" i="16" s="1"/>
  <c r="K74" i="16"/>
  <c r="K202" i="16"/>
  <c r="K203" i="16" s="1"/>
  <c r="K193" i="16"/>
  <c r="K279" i="16"/>
  <c r="N281" i="16"/>
  <c r="N76" i="16"/>
  <c r="N248" i="16"/>
  <c r="N64" i="16" s="1"/>
  <c r="N304" i="16"/>
  <c r="N20" i="16" s="1"/>
  <c r="K280" i="16" l="1"/>
  <c r="K282" i="16" s="1"/>
  <c r="K231" i="16"/>
  <c r="L228" i="16" s="1"/>
  <c r="K79" i="16"/>
  <c r="K83" i="16" s="1"/>
  <c r="K266" i="16" s="1"/>
  <c r="K267" i="16" s="1"/>
  <c r="L191" i="16"/>
  <c r="L197" i="16" s="1"/>
  <c r="K286" i="16"/>
  <c r="K210" i="16"/>
  <c r="L201" i="16"/>
  <c r="L206" i="16" s="1"/>
  <c r="N249" i="16"/>
  <c r="K287" i="16" l="1"/>
  <c r="K46" i="16" s="1"/>
  <c r="K84" i="16"/>
  <c r="L82" i="16" s="1"/>
  <c r="L180" i="16" s="1"/>
  <c r="K36" i="16"/>
  <c r="K41" i="16" s="1"/>
  <c r="L229" i="16"/>
  <c r="L183" i="16" s="1"/>
  <c r="L338" i="16" s="1"/>
  <c r="L235" i="16"/>
  <c r="L294" i="16" s="1"/>
  <c r="K45" i="16"/>
  <c r="K383" i="16"/>
  <c r="L265" i="16"/>
  <c r="L270" i="16" s="1"/>
  <c r="L298" i="16" s="1"/>
  <c r="L293" i="16"/>
  <c r="N258" i="16"/>
  <c r="O246" i="16"/>
  <c r="N288" i="16"/>
  <c r="N47" i="16" s="1"/>
  <c r="K289" i="16" l="1"/>
  <c r="K339" i="16" s="1"/>
  <c r="K349" i="16" s="1"/>
  <c r="W30" i="20" s="1"/>
  <c r="K51" i="16"/>
  <c r="K53" i="16" s="1"/>
  <c r="L296" i="16"/>
  <c r="L299" i="16" s="1"/>
  <c r="L303" i="16" s="1"/>
  <c r="N260" i="16"/>
  <c r="N295" i="16"/>
  <c r="O247" i="16"/>
  <c r="O259" i="16"/>
  <c r="W28" i="20" l="1"/>
  <c r="K382" i="16"/>
  <c r="K384" i="16" s="1"/>
  <c r="K388" i="16" s="1"/>
  <c r="K389" i="16" s="1"/>
  <c r="K405" i="16" s="1"/>
  <c r="E405" i="16" s="1"/>
  <c r="AB48" i="20" s="1"/>
  <c r="L19" i="16"/>
  <c r="L21" i="16" s="1"/>
  <c r="L22" i="16" s="1"/>
  <c r="L305" i="16"/>
  <c r="L337" i="16" s="1"/>
  <c r="O281" i="16"/>
  <c r="O76" i="16"/>
  <c r="O248" i="16"/>
  <c r="O304" i="16"/>
  <c r="O20" i="16" s="1"/>
  <c r="F405" i="16" l="1"/>
  <c r="AC48" i="20" s="1"/>
  <c r="L144" i="16"/>
  <c r="L154" i="16" s="1"/>
  <c r="O64" i="16"/>
  <c r="O249" i="16"/>
  <c r="L160" i="16" l="1"/>
  <c r="L168" i="16"/>
  <c r="L145" i="16"/>
  <c r="L161" i="16" s="1"/>
  <c r="L155" i="16" s="1"/>
  <c r="L156" i="16" s="1"/>
  <c r="L166" i="16" s="1"/>
  <c r="L24" i="16" s="1"/>
  <c r="O258" i="16"/>
  <c r="P246" i="16"/>
  <c r="O288" i="16"/>
  <c r="O47" i="16" s="1"/>
  <c r="L335" i="16" l="1"/>
  <c r="L361" i="16" s="1"/>
  <c r="X31" i="20" s="1"/>
  <c r="L167" i="16"/>
  <c r="L25" i="16" s="1"/>
  <c r="L26" i="16" s="1"/>
  <c r="L162" i="16"/>
  <c r="M159" i="16" s="1"/>
  <c r="P259" i="16"/>
  <c r="P247" i="16"/>
  <c r="O295" i="16"/>
  <c r="O260" i="16"/>
  <c r="L27" i="16" l="1"/>
  <c r="P281" i="16"/>
  <c r="P76" i="16"/>
  <c r="P248" i="16"/>
  <c r="P304" i="16"/>
  <c r="P20" i="16" s="1"/>
  <c r="L50" i="16" l="1"/>
  <c r="L62" i="16"/>
  <c r="L323" i="16"/>
  <c r="L325" i="16" s="1"/>
  <c r="M322" i="16" s="1"/>
  <c r="P249" i="16"/>
  <c r="Q246" i="16" s="1"/>
  <c r="P64" i="16"/>
  <c r="P288" i="16" l="1"/>
  <c r="P47" i="16" s="1"/>
  <c r="P258" i="16"/>
  <c r="P260" i="16" s="1"/>
  <c r="Q259" i="16"/>
  <c r="Q247" i="16"/>
  <c r="P295" i="16" l="1"/>
  <c r="Q281" i="16"/>
  <c r="Q76" i="16"/>
  <c r="Q248" i="16"/>
  <c r="Q304" i="16"/>
  <c r="Q20" i="16" s="1"/>
  <c r="Q249" i="16" l="1"/>
  <c r="Q288" i="16" s="1"/>
  <c r="Q47" i="16" s="1"/>
  <c r="Q64" i="16"/>
  <c r="R246" i="16" l="1"/>
  <c r="R259" i="16" s="1"/>
  <c r="Q258" i="16"/>
  <c r="Q260" i="16" s="1"/>
  <c r="R247" i="16" l="1"/>
  <c r="R76" i="16" s="1"/>
  <c r="Q295" i="16"/>
  <c r="R248" i="16"/>
  <c r="R304" i="16"/>
  <c r="R20" i="16" s="1"/>
  <c r="R281" i="16" l="1"/>
  <c r="R249" i="16"/>
  <c r="S246" i="16" s="1"/>
  <c r="R64" i="16"/>
  <c r="R258" i="16" l="1"/>
  <c r="R260" i="16" s="1"/>
  <c r="R288" i="16"/>
  <c r="R47" i="16" s="1"/>
  <c r="S247" i="16"/>
  <c r="S259" i="16"/>
  <c r="R295" i="16" l="1"/>
  <c r="S281" i="16"/>
  <c r="S76" i="16"/>
  <c r="S304" i="16"/>
  <c r="S20" i="16" s="1"/>
  <c r="S248" i="16"/>
  <c r="S249" i="16" l="1"/>
  <c r="T246" i="16" s="1"/>
  <c r="S64" i="16"/>
  <c r="S288" i="16" l="1"/>
  <c r="S47" i="16" s="1"/>
  <c r="S258" i="16"/>
  <c r="S295" i="16" s="1"/>
  <c r="T247" i="16"/>
  <c r="T259" i="16"/>
  <c r="S260" i="16" l="1"/>
  <c r="T281" i="16"/>
  <c r="T76" i="16"/>
  <c r="T304" i="16"/>
  <c r="T20" i="16" s="1"/>
  <c r="T248" i="16"/>
  <c r="T249" i="16" l="1"/>
  <c r="T258" i="16" s="1"/>
  <c r="T64" i="16"/>
  <c r="T288" i="16" l="1"/>
  <c r="T47" i="16" s="1"/>
  <c r="T295" i="16"/>
  <c r="T260" i="16"/>
  <c r="L68" i="16" l="1"/>
  <c r="L181" i="16" l="1"/>
  <c r="L187" i="16" s="1"/>
  <c r="L192" i="16" l="1"/>
  <c r="L74" i="16" s="1"/>
  <c r="L279" i="16" l="1"/>
  <c r="L193" i="16"/>
  <c r="L202" i="16"/>
  <c r="L203" i="16" s="1"/>
  <c r="L212" i="16"/>
  <c r="L225" i="16" s="1"/>
  <c r="L226" i="16" l="1"/>
  <c r="L230" i="16" s="1"/>
  <c r="L210" i="16"/>
  <c r="M201" i="16"/>
  <c r="M191" i="16"/>
  <c r="L286" i="16"/>
  <c r="L45" i="16" l="1"/>
  <c r="L75" i="16"/>
  <c r="L79" i="16" s="1"/>
  <c r="L83" i="16" s="1"/>
  <c r="L231" i="16"/>
  <c r="L280" i="16"/>
  <c r="L282" i="16" s="1"/>
  <c r="M206" i="16"/>
  <c r="M197" i="16"/>
  <c r="L84" i="16" l="1"/>
  <c r="M82" i="16" s="1"/>
  <c r="M180" i="16" s="1"/>
  <c r="L266" i="16"/>
  <c r="L267" i="16" s="1"/>
  <c r="M265" i="16" s="1"/>
  <c r="L36" i="16"/>
  <c r="L41" i="16" s="1"/>
  <c r="M293" i="16"/>
  <c r="M228" i="16"/>
  <c r="L287" i="16"/>
  <c r="L46" i="16" l="1"/>
  <c r="L289" i="16"/>
  <c r="X28" i="20" s="1"/>
  <c r="L383" i="16"/>
  <c r="M270" i="16"/>
  <c r="M298" i="16" s="1"/>
  <c r="M229" i="16"/>
  <c r="M235" i="16"/>
  <c r="M294" i="16" s="1"/>
  <c r="M296" i="16" s="1"/>
  <c r="L339" i="16" l="1"/>
  <c r="L382" i="16"/>
  <c r="L384" i="16" s="1"/>
  <c r="L388" i="16" s="1"/>
  <c r="L389" i="16" s="1"/>
  <c r="M299" i="16"/>
  <c r="M303" i="16" s="1"/>
  <c r="M19" i="16" s="1"/>
  <c r="M21" i="16" s="1"/>
  <c r="L51" i="16"/>
  <c r="L53" i="16" s="1"/>
  <c r="M183" i="16"/>
  <c r="L404" i="16" l="1"/>
  <c r="E404" i="16" s="1"/>
  <c r="AB49" i="20" s="1"/>
  <c r="L349" i="16"/>
  <c r="X30" i="20" s="1"/>
  <c r="M305" i="16"/>
  <c r="M337" i="16" s="1"/>
  <c r="M22" i="16"/>
  <c r="M338" i="16"/>
  <c r="F404" i="16" l="1"/>
  <c r="AC49" i="20" s="1"/>
  <c r="M144" i="16"/>
  <c r="M154" i="16" s="1"/>
  <c r="M145" i="16" l="1"/>
  <c r="M161" i="16" s="1"/>
  <c r="M155" i="16" s="1"/>
  <c r="M156" i="16" s="1"/>
  <c r="M166" i="16" s="1"/>
  <c r="M24" i="16" s="1"/>
  <c r="M168" i="16"/>
  <c r="M160" i="16"/>
  <c r="M335" i="16" l="1"/>
  <c r="M162" i="16"/>
  <c r="M167" i="16"/>
  <c r="M25" i="16" s="1"/>
  <c r="M26" i="16" s="1"/>
  <c r="M27" i="16" l="1"/>
  <c r="N159" i="16"/>
  <c r="M361" i="16"/>
  <c r="Y31" i="20" s="1"/>
  <c r="M62" i="16" l="1"/>
  <c r="M68" i="16" s="1"/>
  <c r="M181" i="16" s="1"/>
  <c r="M187" i="16" s="1"/>
  <c r="M192" i="16" s="1"/>
  <c r="M74" i="16" s="1"/>
  <c r="M50" i="16"/>
  <c r="M323" i="16"/>
  <c r="M325" i="16" s="1"/>
  <c r="N322" i="16" s="1"/>
  <c r="M279" i="16" l="1"/>
  <c r="M193" i="16"/>
  <c r="M286" i="16" s="1"/>
  <c r="M45" i="16" s="1"/>
  <c r="M202" i="16"/>
  <c r="M203" i="16" s="1"/>
  <c r="N201" i="16" s="1"/>
  <c r="M212" i="16"/>
  <c r="M225" i="16" s="1"/>
  <c r="M226" i="16" s="1"/>
  <c r="M230" i="16" s="1"/>
  <c r="M75" i="16" s="1"/>
  <c r="M79" i="16" s="1"/>
  <c r="M83" i="16" s="1"/>
  <c r="M266" i="16" s="1"/>
  <c r="M267" i="16" s="1"/>
  <c r="M383" i="16" s="1"/>
  <c r="N191" i="16" l="1"/>
  <c r="M210" i="16"/>
  <c r="M231" i="16"/>
  <c r="M287" i="16" s="1"/>
  <c r="M46" i="16" s="1"/>
  <c r="M280" i="16"/>
  <c r="M282" i="16" s="1"/>
  <c r="N265" i="16"/>
  <c r="N270" i="16" s="1"/>
  <c r="N298" i="16" s="1"/>
  <c r="M84" i="16"/>
  <c r="N82" i="16" s="1"/>
  <c r="N180" i="16" s="1"/>
  <c r="M36" i="16"/>
  <c r="M41" i="16" s="1"/>
  <c r="N206" i="16"/>
  <c r="N197" i="16"/>
  <c r="N228" i="16" l="1"/>
  <c r="N229" i="16" s="1"/>
  <c r="M289" i="16"/>
  <c r="Y28" i="20" s="1"/>
  <c r="M51" i="16"/>
  <c r="M53" i="16" s="1"/>
  <c r="N293" i="16"/>
  <c r="N235" i="16" l="1"/>
  <c r="N294" i="16" s="1"/>
  <c r="N296" i="16" s="1"/>
  <c r="N299" i="16" s="1"/>
  <c r="N303" i="16" s="1"/>
  <c r="N19" i="16" s="1"/>
  <c r="N21" i="16" s="1"/>
  <c r="M339" i="16"/>
  <c r="M382" i="16"/>
  <c r="M384" i="16" s="1"/>
  <c r="M388" i="16" s="1"/>
  <c r="M389" i="16" s="1"/>
  <c r="M403" i="16" s="1"/>
  <c r="F403" i="16" s="1"/>
  <c r="AC50" i="20" s="1"/>
  <c r="N183" i="16"/>
  <c r="N338" i="16" s="1"/>
  <c r="E403" i="16" l="1"/>
  <c r="AB50" i="20" s="1"/>
  <c r="M349" i="16"/>
  <c r="Y30" i="20" s="1"/>
  <c r="N305" i="16"/>
  <c r="N337" i="16" s="1"/>
  <c r="N22" i="16"/>
  <c r="N144" i="16" l="1"/>
  <c r="N154" i="16" s="1"/>
  <c r="N145" i="16" l="1"/>
  <c r="N161" i="16" s="1"/>
  <c r="N155" i="16" s="1"/>
  <c r="N156" i="16" s="1"/>
  <c r="N166" i="16" s="1"/>
  <c r="N24" i="16" s="1"/>
  <c r="N160" i="16"/>
  <c r="N168" i="16"/>
  <c r="N335" i="16" l="1"/>
  <c r="N167" i="16"/>
  <c r="N25" i="16" s="1"/>
  <c r="N26" i="16" s="1"/>
  <c r="N162" i="16"/>
  <c r="N27" i="16" l="1"/>
  <c r="O159" i="16"/>
  <c r="N361" i="16"/>
  <c r="Z31" i="20" s="1"/>
  <c r="N62" i="16" l="1"/>
  <c r="N68" i="16" s="1"/>
  <c r="N181" i="16" s="1"/>
  <c r="N187" i="16" s="1"/>
  <c r="N192" i="16" s="1"/>
  <c r="N212" i="16" s="1"/>
  <c r="N225" i="16" s="1"/>
  <c r="N226" i="16" s="1"/>
  <c r="N230" i="16" s="1"/>
  <c r="N75" i="16" s="1"/>
  <c r="N50" i="16"/>
  <c r="N323" i="16"/>
  <c r="N325" i="16" s="1"/>
  <c r="O322" i="16" s="1"/>
  <c r="N193" i="16" l="1"/>
  <c r="N286" i="16" s="1"/>
  <c r="N45" i="16" s="1"/>
  <c r="N202" i="16"/>
  <c r="N203" i="16" s="1"/>
  <c r="O201" i="16" s="1"/>
  <c r="O206" i="16" s="1"/>
  <c r="N279" i="16"/>
  <c r="N74" i="16"/>
  <c r="N79" i="16" s="1"/>
  <c r="N83" i="16" s="1"/>
  <c r="N266" i="16" s="1"/>
  <c r="N267" i="16" s="1"/>
  <c r="O265" i="16" s="1"/>
  <c r="O270" i="16" s="1"/>
  <c r="O298" i="16" s="1"/>
  <c r="N231" i="16"/>
  <c r="O228" i="16" s="1"/>
  <c r="O235" i="16" s="1"/>
  <c r="O294" i="16" s="1"/>
  <c r="N280" i="16"/>
  <c r="O191" i="16" l="1"/>
  <c r="O197" i="16" s="1"/>
  <c r="O293" i="16" s="1"/>
  <c r="O296" i="16" s="1"/>
  <c r="O299" i="16" s="1"/>
  <c r="O303" i="16" s="1"/>
  <c r="O19" i="16" s="1"/>
  <c r="N282" i="16"/>
  <c r="O229" i="16"/>
  <c r="O183" i="16" s="1"/>
  <c r="O338" i="16" s="1"/>
  <c r="N383" i="16"/>
  <c r="N210" i="16"/>
  <c r="N287" i="16"/>
  <c r="N46" i="16" s="1"/>
  <c r="N51" i="16" s="1"/>
  <c r="N36" i="16"/>
  <c r="N41" i="16" s="1"/>
  <c r="N84" i="16"/>
  <c r="O82" i="16" s="1"/>
  <c r="O180" i="16" s="1"/>
  <c r="N289" i="16" l="1"/>
  <c r="N339" i="16" s="1"/>
  <c r="N349" i="16" s="1"/>
  <c r="Z30" i="20" s="1"/>
  <c r="N53" i="16"/>
  <c r="O21" i="16"/>
  <c r="O22" i="16" s="1"/>
  <c r="O305" i="16"/>
  <c r="O337" i="16" s="1"/>
  <c r="Z28" i="20" l="1"/>
  <c r="N382" i="16"/>
  <c r="N384" i="16" s="1"/>
  <c r="N388" i="16" s="1"/>
  <c r="N389" i="16" s="1"/>
  <c r="N402" i="16" s="1"/>
  <c r="F402" i="16" s="1"/>
  <c r="AC51" i="20" s="1"/>
  <c r="O144" i="16"/>
  <c r="O154" i="16" s="1"/>
  <c r="O168" i="16" s="1"/>
  <c r="E402" i="16" l="1"/>
  <c r="AB51" i="20" s="1"/>
  <c r="O160" i="16"/>
  <c r="O145" i="16"/>
  <c r="O161" i="16" s="1"/>
  <c r="O155" i="16" s="1"/>
  <c r="O156" i="16" s="1"/>
  <c r="O166" i="16" s="1"/>
  <c r="O24" i="16" s="1"/>
  <c r="O335" i="16" l="1"/>
  <c r="O361" i="16" s="1"/>
  <c r="AA31" i="20" s="1"/>
  <c r="O162" i="16"/>
  <c r="O167" i="16"/>
  <c r="O25" i="16" s="1"/>
  <c r="O26" i="16" s="1"/>
  <c r="O27" i="16" l="1"/>
  <c r="P159" i="16"/>
  <c r="O62" i="16" l="1"/>
  <c r="O68" i="16" s="1"/>
  <c r="O181" i="16" s="1"/>
  <c r="O187" i="16" s="1"/>
  <c r="O50" i="16"/>
  <c r="O323" i="16"/>
  <c r="O325" i="16" s="1"/>
  <c r="P322" i="16" s="1"/>
  <c r="O192" i="16" l="1"/>
  <c r="O212" i="16" s="1"/>
  <c r="O225" i="16" s="1"/>
  <c r="O226" i="16" s="1"/>
  <c r="O230" i="16" s="1"/>
  <c r="O75" i="16" l="1"/>
  <c r="O280" i="16"/>
  <c r="O231" i="16"/>
  <c r="O74" i="16"/>
  <c r="O202" i="16"/>
  <c r="O203" i="16" s="1"/>
  <c r="O193" i="16"/>
  <c r="O279" i="16"/>
  <c r="P191" i="16" l="1"/>
  <c r="P197" i="16" s="1"/>
  <c r="O286" i="16"/>
  <c r="O210" i="16"/>
  <c r="P201" i="16"/>
  <c r="P206" i="16" s="1"/>
  <c r="O287" i="16"/>
  <c r="O46" i="16" s="1"/>
  <c r="P228" i="16"/>
  <c r="O282" i="16"/>
  <c r="O79" i="16"/>
  <c r="O83" i="16" s="1"/>
  <c r="O266" i="16" l="1"/>
  <c r="O267" i="16" s="1"/>
  <c r="O36" i="16"/>
  <c r="O41" i="16" s="1"/>
  <c r="O84" i="16"/>
  <c r="P82" i="16" s="1"/>
  <c r="P180" i="16" s="1"/>
  <c r="O45" i="16"/>
  <c r="O51" i="16" s="1"/>
  <c r="O289" i="16"/>
  <c r="P229" i="16"/>
  <c r="P183" i="16" s="1"/>
  <c r="P338" i="16" s="1"/>
  <c r="P235" i="16"/>
  <c r="P294" i="16" s="1"/>
  <c r="P293" i="16"/>
  <c r="P296" i="16" l="1"/>
  <c r="O53" i="16"/>
  <c r="O339" i="16"/>
  <c r="O349" i="16" s="1"/>
  <c r="AA30" i="20" s="1"/>
  <c r="O382" i="16"/>
  <c r="AA28" i="20"/>
  <c r="P265" i="16"/>
  <c r="P270" i="16" s="1"/>
  <c r="P298" i="16" s="1"/>
  <c r="O383" i="16"/>
  <c r="P299" i="16" l="1"/>
  <c r="P303" i="16" s="1"/>
  <c r="P19" i="16" s="1"/>
  <c r="P21" i="16" s="1"/>
  <c r="P22" i="16" s="1"/>
  <c r="O384" i="16"/>
  <c r="P305" i="16" l="1"/>
  <c r="P337" i="16" s="1"/>
  <c r="P144" i="16"/>
  <c r="P154" i="16" s="1"/>
  <c r="O388" i="16"/>
  <c r="O389" i="16" s="1"/>
  <c r="O401" i="16" s="1"/>
  <c r="F401" i="16" l="1"/>
  <c r="AC52" i="20" s="1"/>
  <c r="E401" i="16"/>
  <c r="AB52" i="20" s="1"/>
  <c r="P160" i="16"/>
  <c r="P145" i="16"/>
  <c r="P161" i="16" s="1"/>
  <c r="P155" i="16" s="1"/>
  <c r="P156" i="16" s="1"/>
  <c r="P166" i="16" s="1"/>
  <c r="P24" i="16" s="1"/>
  <c r="P168" i="16"/>
  <c r="P335" i="16" l="1"/>
  <c r="P361" i="16" s="1"/>
  <c r="AB31" i="20" s="1"/>
  <c r="P167" i="16"/>
  <c r="P25" i="16" s="1"/>
  <c r="P26" i="16" s="1"/>
  <c r="P162" i="16"/>
  <c r="Q159" i="16" s="1"/>
  <c r="P27" i="16" l="1"/>
  <c r="P323" i="16" l="1"/>
  <c r="P325" i="16" s="1"/>
  <c r="Q322" i="16" s="1"/>
  <c r="P62" i="16"/>
  <c r="P68" i="16" s="1"/>
  <c r="P181" i="16" s="1"/>
  <c r="P187" i="16" s="1"/>
  <c r="P50" i="16"/>
  <c r="P192" i="16" l="1"/>
  <c r="P212" i="16" s="1"/>
  <c r="P225" i="16" s="1"/>
  <c r="P226" i="16" s="1"/>
  <c r="P230" i="16" s="1"/>
  <c r="P75" i="16" l="1"/>
  <c r="P231" i="16"/>
  <c r="P280" i="16"/>
  <c r="P74" i="16"/>
  <c r="P279" i="16"/>
  <c r="P193" i="16"/>
  <c r="P202" i="16"/>
  <c r="P203" i="16" s="1"/>
  <c r="P210" i="16" l="1"/>
  <c r="Q201" i="16"/>
  <c r="Q206" i="16" s="1"/>
  <c r="Q191" i="16"/>
  <c r="P286" i="16"/>
  <c r="P282" i="16"/>
  <c r="P287" i="16"/>
  <c r="P46" i="16" s="1"/>
  <c r="Q228" i="16"/>
  <c r="P79" i="16"/>
  <c r="P83" i="16" s="1"/>
  <c r="P84" i="16" l="1"/>
  <c r="Q82" i="16" s="1"/>
  <c r="Q180" i="16" s="1"/>
  <c r="P266" i="16"/>
  <c r="P267" i="16" s="1"/>
  <c r="P36" i="16"/>
  <c r="P41" i="16" s="1"/>
  <c r="Q229" i="16"/>
  <c r="Q235" i="16"/>
  <c r="Q294" i="16" s="1"/>
  <c r="Q197" i="16"/>
  <c r="Q293" i="16" s="1"/>
  <c r="P45" i="16"/>
  <c r="P51" i="16" s="1"/>
  <c r="P289" i="16"/>
  <c r="Q183" i="16" l="1"/>
  <c r="Q338" i="16" s="1"/>
  <c r="P339" i="16"/>
  <c r="P349" i="16" s="1"/>
  <c r="AB30" i="20" s="1"/>
  <c r="AB28" i="20"/>
  <c r="P382" i="16"/>
  <c r="Q265" i="16"/>
  <c r="Q270" i="16" s="1"/>
  <c r="Q298" i="16" s="1"/>
  <c r="P383" i="16"/>
  <c r="Q296" i="16"/>
  <c r="P53" i="16"/>
  <c r="P384" i="16" l="1"/>
  <c r="Q299" i="16"/>
  <c r="Q303" i="16" s="1"/>
  <c r="P388" i="16" l="1"/>
  <c r="P389" i="16" s="1"/>
  <c r="P400" i="16" s="1"/>
  <c r="F400" i="16" s="1"/>
  <c r="AC53" i="20" s="1"/>
  <c r="W52" i="20"/>
  <c r="X52" i="20" s="1"/>
  <c r="U52" i="20" s="1"/>
  <c r="Q305" i="16"/>
  <c r="Q337" i="16" s="1"/>
  <c r="Q19" i="16"/>
  <c r="Q21" i="16" s="1"/>
  <c r="Q22" i="16" s="1"/>
  <c r="E400" i="16" l="1"/>
  <c r="I20" i="20" s="1"/>
  <c r="D67" i="20" s="1"/>
  <c r="O20" i="20"/>
  <c r="L67" i="20" s="1"/>
  <c r="AH60" i="20"/>
  <c r="U53" i="20"/>
  <c r="U55" i="20" s="1"/>
  <c r="Q144" i="16"/>
  <c r="Q154" i="16" s="1"/>
  <c r="AB53" i="20" l="1"/>
  <c r="AI60" i="20"/>
  <c r="AM60" i="20"/>
  <c r="AM61" i="20" s="1"/>
  <c r="AI61" i="20" s="1"/>
  <c r="AQ60" i="20"/>
  <c r="Q168" i="16"/>
  <c r="Q160" i="16"/>
  <c r="Q145" i="16"/>
  <c r="Q161" i="16" s="1"/>
  <c r="Q155" i="16" s="1"/>
  <c r="Q156" i="16" s="1"/>
  <c r="Q166" i="16" s="1"/>
  <c r="Q24" i="16" s="1"/>
  <c r="AK60" i="20" l="1"/>
  <c r="AQ61" i="20"/>
  <c r="AO61" i="20"/>
  <c r="AP61" i="20"/>
  <c r="AJ60" i="20"/>
  <c r="Q162" i="16"/>
  <c r="R159" i="16" s="1"/>
  <c r="Q335" i="16"/>
  <c r="Q361" i="16" s="1"/>
  <c r="AC31" i="20" s="1"/>
  <c r="Q167" i="16"/>
  <c r="Q25" i="16" s="1"/>
  <c r="Q26" i="16" s="1"/>
  <c r="AO60" i="20" l="1"/>
  <c r="AP60" i="20"/>
  <c r="Q27" i="16"/>
  <c r="Q62" i="16" s="1"/>
  <c r="Q68" i="16" s="1"/>
  <c r="Q181" i="16" s="1"/>
  <c r="Q187" i="16" s="1"/>
  <c r="Q323" i="16" l="1"/>
  <c r="Q325" i="16" s="1"/>
  <c r="R322" i="16" s="1"/>
  <c r="Q50" i="16"/>
  <c r="Q192" i="16"/>
  <c r="Q74" i="16" l="1"/>
  <c r="Q202" i="16"/>
  <c r="Q203" i="16" s="1"/>
  <c r="Q279" i="16"/>
  <c r="Q193" i="16"/>
  <c r="Q212" i="16"/>
  <c r="Q225" i="16" s="1"/>
  <c r="Q226" i="16" s="1"/>
  <c r="Q230" i="16" s="1"/>
  <c r="Q75" i="16" l="1"/>
  <c r="Q79" i="16" s="1"/>
  <c r="Q83" i="16" s="1"/>
  <c r="Q231" i="16"/>
  <c r="Q280" i="16"/>
  <c r="Q282" i="16" s="1"/>
  <c r="R191" i="16"/>
  <c r="Q286" i="16"/>
  <c r="Q210" i="16"/>
  <c r="R201" i="16"/>
  <c r="R206" i="16" s="1"/>
  <c r="Q45" i="16" l="1"/>
  <c r="R228" i="16"/>
  <c r="Q287" i="16"/>
  <c r="Q46" i="16" s="1"/>
  <c r="R197" i="16"/>
  <c r="R293" i="16" s="1"/>
  <c r="Q266" i="16"/>
  <c r="Q267" i="16" s="1"/>
  <c r="Q36" i="16"/>
  <c r="Q84" i="16"/>
  <c r="R82" i="16" s="1"/>
  <c r="Q289" i="16" l="1"/>
  <c r="Q339" i="16" s="1"/>
  <c r="Q349" i="16" s="1"/>
  <c r="AC30" i="20" s="1"/>
  <c r="Q41" i="16"/>
  <c r="R235" i="16"/>
  <c r="R294" i="16" s="1"/>
  <c r="R296" i="16" s="1"/>
  <c r="R229" i="16"/>
  <c r="R265" i="16"/>
  <c r="R270" i="16" s="1"/>
  <c r="R298" i="16" s="1"/>
  <c r="Q383" i="16"/>
  <c r="R180" i="16"/>
  <c r="Q51" i="16"/>
  <c r="Q382" i="16" l="1"/>
  <c r="Q384" i="16" s="1"/>
  <c r="Q388" i="16" s="1"/>
  <c r="Q389" i="16" s="1"/>
  <c r="Q399" i="16" s="1"/>
  <c r="F399" i="16" s="1"/>
  <c r="AC54" i="20" s="1"/>
  <c r="AC28" i="20"/>
  <c r="Q53" i="16"/>
  <c r="R183" i="16"/>
  <c r="R338" i="16" s="1"/>
  <c r="R299" i="16"/>
  <c r="R303" i="16" s="1"/>
  <c r="E399" i="16" l="1"/>
  <c r="AB54" i="20" s="1"/>
  <c r="R19" i="16"/>
  <c r="R21" i="16" s="1"/>
  <c r="R22" i="16" s="1"/>
  <c r="R305" i="16"/>
  <c r="R337" i="16" s="1"/>
  <c r="R144" i="16" l="1"/>
  <c r="R154" i="16" s="1"/>
  <c r="R168" i="16" l="1"/>
  <c r="R145" i="16"/>
  <c r="R161" i="16" s="1"/>
  <c r="R155" i="16" s="1"/>
  <c r="R156" i="16" s="1"/>
  <c r="R166" i="16" s="1"/>
  <c r="R24" i="16" s="1"/>
  <c r="R160" i="16"/>
  <c r="R162" i="16" l="1"/>
  <c r="S159" i="16" s="1"/>
  <c r="R335" i="16"/>
  <c r="R361" i="16" s="1"/>
  <c r="AD31" i="20" s="1"/>
  <c r="R167" i="16"/>
  <c r="R25" i="16" s="1"/>
  <c r="R26" i="16" s="1"/>
  <c r="R27" i="16" l="1"/>
  <c r="R323" i="16" l="1"/>
  <c r="R325" i="16" s="1"/>
  <c r="S322" i="16" s="1"/>
  <c r="R62" i="16"/>
  <c r="R68" i="16" s="1"/>
  <c r="R181" i="16" s="1"/>
  <c r="R187" i="16" s="1"/>
  <c r="R50" i="16"/>
  <c r="R192" i="16" l="1"/>
  <c r="R212" i="16" s="1"/>
  <c r="R225" i="16" s="1"/>
  <c r="R226" i="16" s="1"/>
  <c r="R230" i="16" s="1"/>
  <c r="R231" i="16" l="1"/>
  <c r="R280" i="16"/>
  <c r="R75" i="16"/>
  <c r="R74" i="16"/>
  <c r="R279" i="16"/>
  <c r="R202" i="16"/>
  <c r="R203" i="16" s="1"/>
  <c r="R193" i="16"/>
  <c r="R286" i="16" l="1"/>
  <c r="S191" i="16"/>
  <c r="R282" i="16"/>
  <c r="R210" i="16"/>
  <c r="S201" i="16"/>
  <c r="S206" i="16" s="1"/>
  <c r="R79" i="16"/>
  <c r="R83" i="16" s="1"/>
  <c r="R287" i="16"/>
  <c r="R46" i="16" s="1"/>
  <c r="S228" i="16"/>
  <c r="S197" i="16" l="1"/>
  <c r="S293" i="16" s="1"/>
  <c r="S235" i="16"/>
  <c r="S294" i="16" s="1"/>
  <c r="S229" i="16"/>
  <c r="R266" i="16"/>
  <c r="R267" i="16" s="1"/>
  <c r="R36" i="16"/>
  <c r="R41" i="16" s="1"/>
  <c r="R84" i="16"/>
  <c r="S82" i="16" s="1"/>
  <c r="R45" i="16"/>
  <c r="R51" i="16" s="1"/>
  <c r="R289" i="16"/>
  <c r="R53" i="16" l="1"/>
  <c r="S296" i="16"/>
  <c r="S180" i="16"/>
  <c r="R383" i="16"/>
  <c r="S265" i="16"/>
  <c r="S270" i="16" s="1"/>
  <c r="S298" i="16" s="1"/>
  <c r="S183" i="16"/>
  <c r="S338" i="16" s="1"/>
  <c r="AD28" i="20"/>
  <c r="R382" i="16"/>
  <c r="R339" i="16"/>
  <c r="R349" i="16" s="1"/>
  <c r="AD30" i="20" s="1"/>
  <c r="S299" i="16" l="1"/>
  <c r="S303" i="16" s="1"/>
  <c r="S305" i="16" s="1"/>
  <c r="S337" i="16" s="1"/>
  <c r="R384" i="16"/>
  <c r="R388" i="16" s="1"/>
  <c r="R389" i="16" s="1"/>
  <c r="R398" i="16" s="1"/>
  <c r="S19" i="16" l="1"/>
  <c r="S21" i="16" s="1"/>
  <c r="S22" i="16" s="1"/>
  <c r="S144" i="16" s="1"/>
  <c r="S154" i="16" s="1"/>
  <c r="F398" i="16"/>
  <c r="AC55" i="20" s="1"/>
  <c r="E398" i="16"/>
  <c r="AB55" i="20" s="1"/>
  <c r="S168" i="16" l="1"/>
  <c r="S145" i="16"/>
  <c r="S161" i="16" s="1"/>
  <c r="S155" i="16" s="1"/>
  <c r="S156" i="16" s="1"/>
  <c r="S166" i="16" s="1"/>
  <c r="S24" i="16" s="1"/>
  <c r="S160" i="16"/>
  <c r="S162" i="16" l="1"/>
  <c r="T159" i="16" s="1"/>
  <c r="S335" i="16"/>
  <c r="S361" i="16" s="1"/>
  <c r="AE31" i="20" s="1"/>
  <c r="S167" i="16"/>
  <c r="S25" i="16" s="1"/>
  <c r="S26" i="16" s="1"/>
  <c r="S27" i="16" l="1"/>
  <c r="S50" i="16" l="1"/>
  <c r="S62" i="16"/>
  <c r="S68" i="16" s="1"/>
  <c r="S181" i="16" s="1"/>
  <c r="S187" i="16" s="1"/>
  <c r="S323" i="16"/>
  <c r="S325" i="16" s="1"/>
  <c r="T322" i="16" s="1"/>
  <c r="S192" i="16" l="1"/>
  <c r="S212" i="16" s="1"/>
  <c r="S225" i="16" s="1"/>
  <c r="S226" i="16" s="1"/>
  <c r="S230" i="16" s="1"/>
  <c r="S231" i="16" l="1"/>
  <c r="S75" i="16"/>
  <c r="S280" i="16"/>
  <c r="S74" i="16"/>
  <c r="S202" i="16"/>
  <c r="S203" i="16" s="1"/>
  <c r="S279" i="16"/>
  <c r="S193" i="16"/>
  <c r="S286" i="16" l="1"/>
  <c r="T191" i="16"/>
  <c r="S210" i="16"/>
  <c r="T201" i="16"/>
  <c r="T206" i="16" s="1"/>
  <c r="S282" i="16"/>
  <c r="S79" i="16"/>
  <c r="S83" i="16" s="1"/>
  <c r="S287" i="16"/>
  <c r="S46" i="16" s="1"/>
  <c r="T228" i="16"/>
  <c r="T235" i="16" l="1"/>
  <c r="T294" i="16" s="1"/>
  <c r="T229" i="16"/>
  <c r="S36" i="16"/>
  <c r="S266" i="16"/>
  <c r="S267" i="16" s="1"/>
  <c r="S84" i="16"/>
  <c r="T82" i="16" s="1"/>
  <c r="T197" i="16"/>
  <c r="T293" i="16" s="1"/>
  <c r="S45" i="16"/>
  <c r="S51" i="16" s="1"/>
  <c r="S289" i="16"/>
  <c r="T296" i="16" l="1"/>
  <c r="T180" i="16"/>
  <c r="T265" i="16"/>
  <c r="T270" i="16" s="1"/>
  <c r="T298" i="16" s="1"/>
  <c r="S383" i="16"/>
  <c r="S41" i="16"/>
  <c r="S53" i="16" s="1"/>
  <c r="S339" i="16"/>
  <c r="S349" i="16" s="1"/>
  <c r="AE30" i="20" s="1"/>
  <c r="S382" i="16"/>
  <c r="AE28" i="20"/>
  <c r="T183" i="16"/>
  <c r="T338" i="16" s="1"/>
  <c r="T299" i="16" l="1"/>
  <c r="T303" i="16" s="1"/>
  <c r="T305" i="16" s="1"/>
  <c r="T337" i="16" s="1"/>
  <c r="S384" i="16"/>
  <c r="S388" i="16" s="1"/>
  <c r="S389" i="16" s="1"/>
  <c r="S397" i="16" s="1"/>
  <c r="T19" i="16" l="1"/>
  <c r="T21" i="16" s="1"/>
  <c r="T22" i="16" s="1"/>
  <c r="T144" i="16" s="1"/>
  <c r="T154" i="16" s="1"/>
  <c r="E397" i="16"/>
  <c r="AB56" i="20" s="1"/>
  <c r="F397" i="16"/>
  <c r="AC56" i="20" s="1"/>
  <c r="T160" i="16" l="1"/>
  <c r="T145" i="16"/>
  <c r="T161" i="16" s="1"/>
  <c r="T155" i="16" s="1"/>
  <c r="T156" i="16" s="1"/>
  <c r="T166" i="16" s="1"/>
  <c r="T24" i="16" s="1"/>
  <c r="T168" i="16"/>
  <c r="T335" i="16" l="1"/>
  <c r="T361" i="16" s="1"/>
  <c r="AF31" i="20" s="1"/>
  <c r="T167" i="16"/>
  <c r="T25" i="16" s="1"/>
  <c r="T26" i="16" s="1"/>
  <c r="T162" i="16"/>
  <c r="F148" i="16" s="1"/>
  <c r="T27" i="16" l="1"/>
  <c r="T323" i="16" l="1"/>
  <c r="T325" i="16" s="1"/>
  <c r="T62" i="16"/>
  <c r="T68" i="16" s="1"/>
  <c r="T181" i="16" s="1"/>
  <c r="T187" i="16" s="1"/>
  <c r="T50" i="16"/>
  <c r="T192" i="16" l="1"/>
  <c r="T212" i="16" s="1"/>
  <c r="T225" i="16" s="1"/>
  <c r="T226" i="16" s="1"/>
  <c r="T230" i="16" s="1"/>
  <c r="T75" i="16" l="1"/>
  <c r="T231" i="16"/>
  <c r="T287" i="16" s="1"/>
  <c r="T46" i="16" s="1"/>
  <c r="T280" i="16"/>
  <c r="T74" i="16"/>
  <c r="T279" i="16"/>
  <c r="T202" i="16"/>
  <c r="T203" i="16" s="1"/>
  <c r="T210" i="16" s="1"/>
  <c r="T193" i="16"/>
  <c r="T286" i="16" s="1"/>
  <c r="T45" i="16" l="1"/>
  <c r="T51" i="16" s="1"/>
  <c r="T289" i="16"/>
  <c r="T282" i="16"/>
  <c r="T79" i="16"/>
  <c r="T83" i="16" s="1"/>
  <c r="T266" i="16" l="1"/>
  <c r="T267" i="16" s="1"/>
  <c r="T383" i="16" s="1"/>
  <c r="T84" i="16"/>
  <c r="T36" i="16"/>
  <c r="T41" i="16" s="1"/>
  <c r="T53" i="16" s="1"/>
  <c r="T339" i="16"/>
  <c r="T349" i="16" s="1"/>
  <c r="AF30" i="20" s="1"/>
  <c r="T382" i="16"/>
  <c r="AF28" i="20"/>
  <c r="T384" i="16" l="1"/>
  <c r="T388" i="16" s="1"/>
  <c r="T389" i="16" s="1"/>
  <c r="T396" i="16" s="1"/>
  <c r="F396" i="16" s="1"/>
  <c r="AC57" i="20" s="1"/>
  <c r="E396" i="16" l="1"/>
  <c r="AB57" i="2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<sst xmlns="http://schemas.openxmlformats.org/spreadsheetml/2006/main" count="656" uniqueCount="435">
  <si>
    <t>Revenue</t>
  </si>
  <si>
    <t>Days in Period</t>
  </si>
  <si>
    <t>Accounts Receivable</t>
  </si>
  <si>
    <t>(Days)</t>
  </si>
  <si>
    <t>Accounts Payable</t>
  </si>
  <si>
    <t>Net Working Capital</t>
  </si>
  <si>
    <t>Beginning</t>
  </si>
  <si>
    <t>Ending</t>
  </si>
  <si>
    <t>All figures in USD thousands unless stated</t>
  </si>
  <si>
    <t>EBT</t>
  </si>
  <si>
    <t>Taxable Income</t>
  </si>
  <si>
    <t>Income Statement</t>
  </si>
  <si>
    <t>EBITDA</t>
  </si>
  <si>
    <t>Depreciation</t>
  </si>
  <si>
    <t>EBIT</t>
  </si>
  <si>
    <t>Current Tax</t>
  </si>
  <si>
    <t>Net Income</t>
  </si>
  <si>
    <t>Add: New Losses</t>
  </si>
  <si>
    <t>Current Taxes</t>
  </si>
  <si>
    <t>Deferred Taxes</t>
  </si>
  <si>
    <t>Total Taxes</t>
  </si>
  <si>
    <t>Tax Rate</t>
  </si>
  <si>
    <t>Profitable Before Taxes?</t>
  </si>
  <si>
    <t>Asset Schedule</t>
  </si>
  <si>
    <t>Capital Expenditure</t>
  </si>
  <si>
    <t>Accounting Depreciation</t>
  </si>
  <si>
    <t>Less: Use of Tax Losses</t>
  </si>
  <si>
    <t>Earnings Before Tax (EBT)</t>
  </si>
  <si>
    <t>Capex</t>
  </si>
  <si>
    <t>Income Tax Schedule</t>
  </si>
  <si>
    <t>SG&amp;A</t>
  </si>
  <si>
    <t>TOTAL AMOUNTS</t>
  </si>
  <si>
    <t>COGS</t>
  </si>
  <si>
    <t>Current Assets</t>
  </si>
  <si>
    <t>Current Liabilities</t>
  </si>
  <si>
    <t>Cash from Working Capital Items</t>
  </si>
  <si>
    <t>NET WORKING CAPITAL</t>
  </si>
  <si>
    <t>AMOUNTS PER DAY</t>
  </si>
  <si>
    <t>Working Capital Schedule</t>
  </si>
  <si>
    <t xml:space="preserve"> </t>
  </si>
  <si>
    <t>Table of Contents</t>
  </si>
  <si>
    <t>All figures in USD thousands</t>
  </si>
  <si>
    <t>Purchase Price</t>
  </si>
  <si>
    <t>Sources and Uses of Cash</t>
  </si>
  <si>
    <t>Enterprise Value</t>
  </si>
  <si>
    <t>Sources of Cash</t>
  </si>
  <si>
    <t>Uses of Cash</t>
  </si>
  <si>
    <t>Cash (Target)</t>
  </si>
  <si>
    <t>Total Debt</t>
  </si>
  <si>
    <t>Plus: Cash Balance</t>
  </si>
  <si>
    <t>Equity Offer Value</t>
  </si>
  <si>
    <t>Premium (Discount)</t>
  </si>
  <si>
    <t>Sponsor Equity</t>
  </si>
  <si>
    <t>Total Sources of Cash</t>
  </si>
  <si>
    <t>Total Uses of Cash</t>
  </si>
  <si>
    <t>IRR</t>
  </si>
  <si>
    <t>Sensitivity Inputs</t>
  </si>
  <si>
    <t>Sponsor IRR (Entry vs Exit Multiple)</t>
  </si>
  <si>
    <t>Sponsor Cash-on-Cash (Entry vs Exit Multiple)</t>
  </si>
  <si>
    <t>Base Case</t>
  </si>
  <si>
    <t>Type</t>
  </si>
  <si>
    <t>Coupon</t>
  </si>
  <si>
    <t>N/A</t>
  </si>
  <si>
    <t xml:space="preserve">Total </t>
  </si>
  <si>
    <t>Total Sources</t>
  </si>
  <si>
    <t>Total Uses</t>
  </si>
  <si>
    <t>Fees</t>
  </si>
  <si>
    <t>Cash Flow Statement</t>
  </si>
  <si>
    <t>Cash from Operations</t>
  </si>
  <si>
    <t>Cash from Investing</t>
  </si>
  <si>
    <t>Equity Issuance / (Repurchase)</t>
  </si>
  <si>
    <t>Payment of Dividends</t>
  </si>
  <si>
    <t>Change in Cash</t>
  </si>
  <si>
    <t>Additions (Repayments)</t>
  </si>
  <si>
    <t>Loan Amortization</t>
  </si>
  <si>
    <t>Less: Required Repayments</t>
  </si>
  <si>
    <t>Less: Discretionary Repayments</t>
  </si>
  <si>
    <t>Plus: Issuance of Equity</t>
  </si>
  <si>
    <t>Less: Repurchase of Equity</t>
  </si>
  <si>
    <t>Less: Dividends</t>
  </si>
  <si>
    <t>Close</t>
  </si>
  <si>
    <t>Interest Expense</t>
  </si>
  <si>
    <t>Equity Value</t>
  </si>
  <si>
    <t>Exit Multiple</t>
  </si>
  <si>
    <t>Total Ending Balance</t>
  </si>
  <si>
    <t>EQUITY CAPITAL</t>
  </si>
  <si>
    <t>RETAINED EARNINGS</t>
  </si>
  <si>
    <t>Other Inputs</t>
  </si>
  <si>
    <t>Worst Case</t>
  </si>
  <si>
    <t>Best Case</t>
  </si>
  <si>
    <t>Driver Switch</t>
  </si>
  <si>
    <t>Net Cash Flow Summary</t>
  </si>
  <si>
    <t>Mandatory Principal Repayment</t>
  </si>
  <si>
    <t>Amount</t>
  </si>
  <si>
    <t>Sources &amp; Uses</t>
  </si>
  <si>
    <t>Model Circularity</t>
  </si>
  <si>
    <t>On</t>
  </si>
  <si>
    <t>Off</t>
  </si>
  <si>
    <t>EBITDA Multiples</t>
  </si>
  <si>
    <t>General Inputs</t>
  </si>
  <si>
    <t>CASH DEPOSITS</t>
  </si>
  <si>
    <t>Interest Rate on Deposits</t>
  </si>
  <si>
    <t>Interest Income</t>
  </si>
  <si>
    <t>Cash Available For Discretionary Payments?</t>
  </si>
  <si>
    <t>ENDING BALANCES</t>
  </si>
  <si>
    <t>PRINCIPAL REPAYMENTS</t>
  </si>
  <si>
    <t>Total Principal Repayments</t>
  </si>
  <si>
    <t>(YY-MM-DD)</t>
  </si>
  <si>
    <t>(Year)</t>
  </si>
  <si>
    <t>First Cash Flow</t>
  </si>
  <si>
    <t>Transaction Date</t>
  </si>
  <si>
    <t>Equity Investor</t>
  </si>
  <si>
    <t>Cash-on-Cash</t>
  </si>
  <si>
    <t>Less: Net Debt</t>
  </si>
  <si>
    <t>Less: Cash</t>
  </si>
  <si>
    <t>Dividends to Equity Investors</t>
  </si>
  <si>
    <t>Total Debt / EBITDA</t>
  </si>
  <si>
    <t>NET DEBT</t>
  </si>
  <si>
    <t>Total Net Debt</t>
  </si>
  <si>
    <t>TAX LOSSES</t>
  </si>
  <si>
    <t>TAXES</t>
  </si>
  <si>
    <t>ENTERPRISE VALUE</t>
  </si>
  <si>
    <t>EQUITY VALUE</t>
  </si>
  <si>
    <t>Unused Tax Losses Remaining?</t>
  </si>
  <si>
    <r>
      <t xml:space="preserve">Debt Service Coverage </t>
    </r>
    <r>
      <rPr>
        <vertAlign val="superscript"/>
        <sz val="10"/>
        <color rgb="FF000000"/>
        <rFont val="Open Sans"/>
        <family val="2"/>
      </rPr>
      <t>1</t>
    </r>
  </si>
  <si>
    <t>US$/Share</t>
  </si>
  <si>
    <t>Circularity</t>
  </si>
  <si>
    <t>Max. Total Debt / EBITDA</t>
  </si>
  <si>
    <t>Debt Covenants</t>
  </si>
  <si>
    <t>TOTAL DEBT / EBITDA</t>
  </si>
  <si>
    <t>Target Covenant</t>
  </si>
  <si>
    <t>First Year Covenant</t>
  </si>
  <si>
    <t>Covenant</t>
  </si>
  <si>
    <t>Within Target Period?</t>
  </si>
  <si>
    <t>DEBT SERVICE COVERAGE RATIO</t>
  </si>
  <si>
    <t>Target Year</t>
  </si>
  <si>
    <t>Less: Debt</t>
  </si>
  <si>
    <t>Plus: PIK Accrual</t>
  </si>
  <si>
    <t>Floating</t>
  </si>
  <si>
    <t>Fixed</t>
  </si>
  <si>
    <t>Return Attribution</t>
  </si>
  <si>
    <t>Ending Equity</t>
  </si>
  <si>
    <t>Entry</t>
  </si>
  <si>
    <t>Exit</t>
  </si>
  <si>
    <t>Change</t>
  </si>
  <si>
    <t>Fee</t>
  </si>
  <si>
    <t>Interest Rate</t>
  </si>
  <si>
    <t>(bps)</t>
  </si>
  <si>
    <t>Cash Amount</t>
  </si>
  <si>
    <t>PIK Amount</t>
  </si>
  <si>
    <t>Less: Minimum Cash Balance</t>
  </si>
  <si>
    <t>Interest Rate Spread</t>
  </si>
  <si>
    <t>CASH INTEREST EXPENSE</t>
  </si>
  <si>
    <t>TOTAL INTEREST EXPENSE</t>
  </si>
  <si>
    <t>Equity Investor Returns by Investment Horizon</t>
  </si>
  <si>
    <t>Ending Equity  ≠ Model?</t>
  </si>
  <si>
    <t>Maximum</t>
  </si>
  <si>
    <t>Limit</t>
  </si>
  <si>
    <t>Standby</t>
  </si>
  <si>
    <t>Cash Sweep</t>
  </si>
  <si>
    <t>After</t>
  </si>
  <si>
    <t>Before</t>
  </si>
  <si>
    <t>Cash Percent</t>
  </si>
  <si>
    <t>Total Percent</t>
  </si>
  <si>
    <t>Total Interest Expense</t>
  </si>
  <si>
    <t>Mandatory Principal Repayments</t>
  </si>
  <si>
    <t>Cash Net Interest Expense</t>
  </si>
  <si>
    <t xml:space="preserve">Debt Service Coverage Ratio = (EBITDA - Current Tax - Capex) / (Total Interest + Mandatory Principal Paydown) </t>
  </si>
  <si>
    <t>PIK Interest Expense</t>
  </si>
  <si>
    <t>Minimum</t>
  </si>
  <si>
    <t>Cash Balance</t>
  </si>
  <si>
    <t>Mandatory Debt Issuance / ( Repayment)</t>
  </si>
  <si>
    <t>Cash from Issuance of Equity</t>
  </si>
  <si>
    <t>Cash Used to Repurchase Equity</t>
  </si>
  <si>
    <r>
      <t xml:space="preserve">Sponsor Equity IRR </t>
    </r>
    <r>
      <rPr>
        <b/>
        <vertAlign val="superscript"/>
        <sz val="11"/>
        <rFont val="Open Sans"/>
        <family val="2"/>
      </rPr>
      <t>1</t>
    </r>
  </si>
  <si>
    <r>
      <t xml:space="preserve">Sponsor Cash-on-Cash </t>
    </r>
    <r>
      <rPr>
        <b/>
        <vertAlign val="superscript"/>
        <sz val="11"/>
        <rFont val="Open Sans"/>
        <family val="2"/>
      </rPr>
      <t>1</t>
    </r>
  </si>
  <si>
    <t>TERM LOAN A</t>
  </si>
  <si>
    <t>Term Loan A</t>
  </si>
  <si>
    <t>Subordinated Debt</t>
  </si>
  <si>
    <t>Term Loan A Issuance / (Repayment)</t>
  </si>
  <si>
    <t>Subordinated Debt Issuance / (Repayment)</t>
  </si>
  <si>
    <t>SUBORDINATED DEBT</t>
  </si>
  <si>
    <t>Debt Schedule: Summary</t>
  </si>
  <si>
    <t>Equity Schedule</t>
  </si>
  <si>
    <t>Credit Metrics Schedule</t>
  </si>
  <si>
    <t>Equity Returns Schedule</t>
  </si>
  <si>
    <t>EBITDA Growth &amp; Debt Paydown</t>
  </si>
  <si>
    <t>FINANCIAL METRICS</t>
  </si>
  <si>
    <t>Covenant Reduction</t>
  </si>
  <si>
    <t>Total Debt / EBITDA Reduction</t>
  </si>
  <si>
    <t>Covenant Increase</t>
  </si>
  <si>
    <t>Debt Service Coverage Increase</t>
  </si>
  <si>
    <t>Sponsor Investment</t>
  </si>
  <si>
    <t>Jeff: I added Sponsor Invesment here. Please check.</t>
  </si>
  <si>
    <t>So they can see how much of their capital is earning the IRR shown.</t>
  </si>
  <si>
    <t>Beginning 
Equity</t>
  </si>
  <si>
    <t>Multiple 
Expansion</t>
  </si>
  <si>
    <t>Net Debt 
Paydown</t>
  </si>
  <si>
    <t>Revolving Credit Line</t>
  </si>
  <si>
    <t>Revolving Credit Line Issuance / (Repayment)</t>
  </si>
  <si>
    <t>REVOLVING CREDIT LINE</t>
  </si>
  <si>
    <t>REVOLVING CREDIT LINE (DRAWN)</t>
  </si>
  <si>
    <t>REVOLVING CREDIT LINE (UNDRAWN)</t>
  </si>
  <si>
    <t>Revolving Credit Line Standby Fee Rate</t>
  </si>
  <si>
    <t>Revolving Credit Line Standby Fees</t>
  </si>
  <si>
    <t>Does Ending Revolving Credit Line balance exceed Maximum?</t>
  </si>
  <si>
    <t>Cash Available After Revolving Credit Line Pay Down</t>
  </si>
  <si>
    <t>Revolving Credit Line (Including Standby Fees)</t>
  </si>
  <si>
    <t>Forecast Financial Performance</t>
  </si>
  <si>
    <t>Returns Analysis</t>
  </si>
  <si>
    <t>Sensitivity Analysis</t>
  </si>
  <si>
    <t>Cash Available / (Required) For Revolving Credit Line</t>
  </si>
  <si>
    <t xml:space="preserve"> Chart Options</t>
  </si>
  <si>
    <t>Label Position</t>
  </si>
  <si>
    <t>Base</t>
  </si>
  <si>
    <t>Elev X</t>
  </si>
  <si>
    <t>Elev Y</t>
  </si>
  <si>
    <t>Middle Y</t>
  </si>
  <si>
    <t>Above Y</t>
  </si>
  <si>
    <t>Below Y</t>
  </si>
  <si>
    <t>Label</t>
  </si>
  <si>
    <t>Return Attribution ($ millions)</t>
  </si>
  <si>
    <t>(Additions) Repayments</t>
  </si>
  <si>
    <t>Less: Interest Income</t>
  </si>
  <si>
    <t>Plus: Net Income</t>
  </si>
  <si>
    <t>Data</t>
  </si>
  <si>
    <t>(In thousands, except per share data)</t>
  </si>
  <si>
    <t>Year Ended January 31,</t>
  </si>
  <si>
    <t>Subscription</t>
  </si>
  <si>
    <t>Professional services</t>
  </si>
  <si>
    <t>Total revenue</t>
  </si>
  <si>
    <t>Cost of revenue</t>
  </si>
  <si>
    <t>Total cost of revenue</t>
  </si>
  <si>
    <t>Gross profit</t>
  </si>
  <si>
    <t>Operating expenses</t>
  </si>
  <si>
    <t>Research and development</t>
  </si>
  <si>
    <t>Sales and marketing</t>
  </si>
  <si>
    <t>General and administrative</t>
  </si>
  <si>
    <t>Total operating expenses</t>
  </si>
  <si>
    <t>Loss from operations</t>
  </si>
  <si>
    <t>Interest income</t>
  </si>
  <si>
    <t>Other income (expense), net</t>
  </si>
  <si>
    <t>Loss before income tax provision</t>
  </si>
  <si>
    <t>Income tax provision</t>
  </si>
  <si>
    <t>Net loss</t>
  </si>
  <si>
    <t>(in thousands, except share data)</t>
  </si>
  <si>
    <t>January 31,</t>
  </si>
  <si>
    <t>Assets</t>
  </si>
  <si>
    <t>Cash and cash equivalents</t>
  </si>
  <si>
    <t>Short-term investments</t>
  </si>
  <si>
    <t>Accounts receivable, net</t>
  </si>
  <si>
    <t>Prepaid expenses and other current assets</t>
  </si>
  <si>
    <t>Total current assets</t>
  </si>
  <si>
    <t>Restricted cash</t>
  </si>
  <si>
    <t>Deferred commissions</t>
  </si>
  <si>
    <t>Property and equipment, net</t>
  </si>
  <si>
    <t>Operating lease right-of-use assets</t>
  </si>
  <si>
    <t>Intangible assets, net</t>
  </si>
  <si>
    <t>Goodwill</t>
  </si>
  <si>
    <t>Other long-term assets</t>
  </si>
  <si>
    <t>Total assets</t>
  </si>
  <si>
    <t>Liabilities and Shareholders’ Equity</t>
  </si>
  <si>
    <t>Accounts payable</t>
  </si>
  <si>
    <t>Accrued compensation and related benefits</t>
  </si>
  <si>
    <t>Other accrued liabilities</t>
  </si>
  <si>
    <t>Operating lease liabilities, current</t>
  </si>
  <si>
    <t>Finance lease liabilities, current</t>
  </si>
  <si>
    <t>Deferred revenue, current</t>
  </si>
  <si>
    <t>Total current liabilities</t>
  </si>
  <si>
    <t>Operating lease liabilities, non-current</t>
  </si>
  <si>
    <t>Finance lease liabilities, non-current</t>
  </si>
  <si>
    <t>Deferred revenue, non-current</t>
  </si>
  <si>
    <t>Other long-term liabilities</t>
  </si>
  <si>
    <t>Total liabilities</t>
  </si>
  <si>
    <t>Shareholders’ equity</t>
  </si>
  <si>
    <t>Additional paid-in capital</t>
  </si>
  <si>
    <t>Accumulated other comprehensive income (loss)</t>
  </si>
  <si>
    <t>Accumulated deficit</t>
  </si>
  <si>
    <t>Total shareholders’ equity</t>
  </si>
  <si>
    <t>Total liabilities and shareholders’ equity</t>
  </si>
  <si>
    <t>(in thousands)</t>
  </si>
  <si>
    <t>Cash flows from operating activities</t>
  </si>
  <si>
    <t>Share-based compensation expense</t>
  </si>
  <si>
    <t>Depreciation and amortization</t>
  </si>
  <si>
    <t>Net amortization of discounts on investments</t>
  </si>
  <si>
    <t>Amortization of deferred commission costs</t>
  </si>
  <si>
    <t>Unrealized foreign currency (gain) loss</t>
  </si>
  <si>
    <t>Non-cash operating lease costs</t>
  </si>
  <si>
    <t>Impairment of long-lived assets</t>
  </si>
  <si>
    <t>Other, net</t>
  </si>
  <si>
    <t>Accounts receivable</t>
  </si>
  <si>
    <t>Deferred revenue</t>
  </si>
  <si>
    <t>Operating lease liabilities</t>
  </si>
  <si>
    <t>Net cash provided by (used in) operating activities</t>
  </si>
  <si>
    <t>Cash flows from investing activities</t>
  </si>
  <si>
    <t>Purchases of short-term investments</t>
  </si>
  <si>
    <t>Maturities of short-term investments</t>
  </si>
  <si>
    <t>Purchases of long-term investments</t>
  </si>
  <si>
    <t>Purchases of property and equipment</t>
  </si>
  <si>
    <t>Proceeds from sale of property and equipment</t>
  </si>
  <si>
    <t>Proceeds from liquidation of long-term investment</t>
  </si>
  <si>
    <t>Capitalized internal-use software development costs</t>
  </si>
  <si>
    <t>Purchases of intangible assets</t>
  </si>
  <si>
    <t>Payments for business acquisitions, net</t>
  </si>
  <si>
    <t>Net cash used in investing activities</t>
  </si>
  <si>
    <t>Cash flows from financing activities</t>
  </si>
  <si>
    <t>Proceeds from exercise of stock options</t>
  </si>
  <si>
    <t>Taxes paid related to net share settlement of RSUs</t>
  </si>
  <si>
    <t>Proceeds from contributions to ESPP</t>
  </si>
  <si>
    <t>Payments on principal of finance leases</t>
  </si>
  <si>
    <t>Net cash provided by financing activities</t>
  </si>
  <si>
    <t>Effect of exchange rate changes on cash</t>
  </si>
  <si>
    <t>Net increase (decrease) in cash, cash equivalents, and restricted cash</t>
  </si>
  <si>
    <t>Cash, cash equivalents, and restricted cash at beginning of period</t>
  </si>
  <si>
    <t>Cash, cash equivalents, and restricted cash at end of period</t>
  </si>
  <si>
    <t>Revenue ($M)</t>
  </si>
  <si>
    <t>-</t>
  </si>
  <si>
    <t>Gross Margin (%)</t>
  </si>
  <si>
    <t>SG&amp;A as % of Revenue</t>
  </si>
  <si>
    <t>COGS as % of Revenue</t>
  </si>
  <si>
    <t>Metrics</t>
  </si>
  <si>
    <t>Hist.</t>
  </si>
  <si>
    <t>D&amp;A</t>
  </si>
  <si>
    <t>D&amp;A as % of Revenue</t>
  </si>
  <si>
    <t>CapEx as % of Revenue</t>
  </si>
  <si>
    <t>R&amp;D as % of Revenue</t>
  </si>
  <si>
    <t>Revenue (% YoY growth)</t>
  </si>
  <si>
    <t>R&amp;D (% of Revenue)</t>
  </si>
  <si>
    <t>SG&amp;A (% of Revenue)</t>
  </si>
  <si>
    <t>CapEx (% of Revenue)</t>
  </si>
  <si>
    <t>D&amp;A (% of Revenue)</t>
  </si>
  <si>
    <t>Income Statement Drivers</t>
  </si>
  <si>
    <t>% growth</t>
  </si>
  <si>
    <t>R&amp;D</t>
  </si>
  <si>
    <t>D&amp;A and CapEx Schedule</t>
  </si>
  <si>
    <t>Depreciation and Amortization</t>
  </si>
  <si>
    <t>ADJUSTMENT FOR TAX LOSSES</t>
  </si>
  <si>
    <t>Accounts Receivable (DSO)</t>
  </si>
  <si>
    <t>Accounts Payable (DPO)</t>
  </si>
  <si>
    <t>Balance Sheet</t>
  </si>
  <si>
    <t>Balance Sheet Drivers</t>
  </si>
  <si>
    <t>Other Assets</t>
  </si>
  <si>
    <t>Other Liabilities</t>
  </si>
  <si>
    <t>Common Stock</t>
  </si>
  <si>
    <t>SG&amp;A (without D&amp;A)</t>
  </si>
  <si>
    <t>Cash Flow Financing</t>
  </si>
  <si>
    <t>Capital Expenditures</t>
  </si>
  <si>
    <t>Cash Flow Investment</t>
  </si>
  <si>
    <t>CFO</t>
  </si>
  <si>
    <t>Total L. &amp; E.</t>
  </si>
  <si>
    <t>Accounting Payable</t>
  </si>
  <si>
    <t>Liabilities &amp; Equity</t>
  </si>
  <si>
    <t>Assets(total)</t>
  </si>
  <si>
    <t>Gross Margin</t>
  </si>
  <si>
    <t>Revenues</t>
  </si>
  <si>
    <t>SG&amp;A all without D&amp;A</t>
  </si>
  <si>
    <t>Total Tax Expense</t>
  </si>
  <si>
    <t>PPE (ending)</t>
  </si>
  <si>
    <t>Balance Check</t>
  </si>
  <si>
    <t>PROPERTY PLANT &amp; EQUIPMENT</t>
  </si>
  <si>
    <t>Cashflow Statement Drivers</t>
  </si>
  <si>
    <t>DSO (Days)</t>
  </si>
  <si>
    <t>DPO (Days)</t>
  </si>
  <si>
    <t>Gross margin (% of Revenue)</t>
  </si>
  <si>
    <t>Premium</t>
  </si>
  <si>
    <t>Shares Outstanding</t>
  </si>
  <si>
    <t>Plus: Long-term Debt</t>
  </si>
  <si>
    <t>Entry EV/Sales</t>
  </si>
  <si>
    <t>2024 Sales for Valuation</t>
  </si>
  <si>
    <t>Transaction Fees</t>
  </si>
  <si>
    <t>Less: Cash + Short term bonds</t>
  </si>
  <si>
    <t>Subordinated Debt / Mezzanine</t>
  </si>
  <si>
    <t>Cash on hand (+Short-term inv)</t>
  </si>
  <si>
    <t>Cash (Incl. short term investments)</t>
  </si>
  <si>
    <t>NOL</t>
  </si>
  <si>
    <t>∆ Net Working Capital</t>
  </si>
  <si>
    <t>End</t>
  </si>
  <si>
    <t>Beginning Cash Balance</t>
  </si>
  <si>
    <t>Refinance LT Debt</t>
  </si>
  <si>
    <t>Debt Schedule: Revolving Credit Line</t>
  </si>
  <si>
    <t>Floating Reference rate (Benchmark)</t>
  </si>
  <si>
    <t>Senior Secured Term Loan A</t>
  </si>
  <si>
    <t>Revolving Credit Line, undrawn</t>
  </si>
  <si>
    <t>Financing Drivers</t>
  </si>
  <si>
    <t>Dividends payments</t>
  </si>
  <si>
    <t>CFF</t>
  </si>
  <si>
    <t>Retained Earnings (Accumulated Deficit)</t>
  </si>
  <si>
    <t xml:space="preserve">Revolving Credit Line </t>
  </si>
  <si>
    <t xml:space="preserve">Term Loan A </t>
  </si>
  <si>
    <t>Incr / Decr</t>
  </si>
  <si>
    <t>2024 Adj</t>
  </si>
  <si>
    <t>PIK Interest expense</t>
  </si>
  <si>
    <t>Cash Net Interest Expense (Income)</t>
  </si>
  <si>
    <t>∆ Other Operating Assets</t>
  </si>
  <si>
    <t>∆ Other Operating Liabilities</t>
  </si>
  <si>
    <t>Start (Minimum) Cash Balance 2025</t>
  </si>
  <si>
    <t>First Forecast Fiscal Year</t>
  </si>
  <si>
    <t>Transaction Close Date</t>
  </si>
  <si>
    <t>First Year of Forecast</t>
  </si>
  <si>
    <t>US$/Share H2-2024</t>
  </si>
  <si>
    <t>Exit EV/Sales</t>
  </si>
  <si>
    <t>From EV to Equity</t>
  </si>
  <si>
    <t>(DD-MM-YY)</t>
  </si>
  <si>
    <t xml:space="preserve">Refinance Debt </t>
  </si>
  <si>
    <t>Closing Costs</t>
  </si>
  <si>
    <t>*Depreciation</t>
  </si>
  <si>
    <t>*EBITDA</t>
  </si>
  <si>
    <t>Floating-Rate Benchmark: SOFR (projected annual)</t>
  </si>
  <si>
    <t>PIK Rate, %</t>
  </si>
  <si>
    <t>PIK Rate Percentage</t>
  </si>
  <si>
    <t>Debt Assumptions</t>
  </si>
  <si>
    <t>Statement of Cash Flows</t>
  </si>
  <si>
    <t>Form 10-K</t>
  </si>
  <si>
    <t>LBO Model &amp; Schedules</t>
  </si>
  <si>
    <t>Financial Drivers &amp; Scenarios</t>
  </si>
  <si>
    <t>PIK rate represents the percentage of the Subordinated Debt Coupon that is paid-in-kind.</t>
  </si>
  <si>
    <t>The Excess Cash Flow sweep represents the percentage of excess cash that can be allocated to discretionary debt paydowns.</t>
  </si>
  <si>
    <t>Targeted Year (Covenant to apply)</t>
  </si>
  <si>
    <t>Performance &amp; Returns Analysis</t>
  </si>
  <si>
    <t>Transaction Structure</t>
  </si>
  <si>
    <t xml:space="preserve">IRR and Cash-on-Cash returns assume a 6-year horizon. </t>
  </si>
  <si>
    <t>LBO Model - Smartsheet Inc.</t>
  </si>
  <si>
    <t>Debt Schedule: Term Loan A</t>
  </si>
  <si>
    <t>CAGR/Avg</t>
  </si>
  <si>
    <t>Entry EV/EBITDA</t>
  </si>
  <si>
    <t>Exit EV/EBITDA</t>
  </si>
  <si>
    <t>EBITDA Growth</t>
  </si>
  <si>
    <t>Debt Schedule: Subordinated (Mezzanine)</t>
  </si>
  <si>
    <t>Credit Metrics &amp; Debt Covenants (Year 2030 - Target Covenants)</t>
  </si>
  <si>
    <t>Entry 
EV / Sales</t>
  </si>
  <si>
    <t>Entry 
EV / EBITDA</t>
  </si>
  <si>
    <t>Exit 
EV / EBITDA</t>
  </si>
  <si>
    <t>Min. Debt Service Coverage Ratio</t>
  </si>
  <si>
    <r>
      <rPr>
        <b/>
        <sz val="10"/>
        <color rgb="FF000000"/>
        <rFont val="Open Sans"/>
      </rPr>
      <t xml:space="preserve">Total Debt / EBITDA </t>
    </r>
    <r>
      <rPr>
        <sz val="10"/>
        <color rgb="FF000000"/>
        <rFont val="Open Sans"/>
        <family val="2"/>
      </rPr>
      <t xml:space="preserve">
Covenant 1: max 4,0x by 2030</t>
    </r>
  </si>
  <si>
    <r>
      <rPr>
        <b/>
        <sz val="10"/>
        <rFont val="Open Sans"/>
      </rPr>
      <t>Debt Service Coverage Ratio</t>
    </r>
    <r>
      <rPr>
        <sz val="10"/>
        <rFont val="Open Sans"/>
        <family val="2"/>
      </rPr>
      <t xml:space="preserve">
Covenant 2: min. 2,0x by 2030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</si>
</sst>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1">
    <numFmt numFmtId="43" formatCode="_-* #,##0.00_-;\-* #,##0.00_-;_-* &quot;-&quot;??_-;_-@_-"/>
    <numFmt numFmtId="164" formatCode="&quot;$&quot;#,##0_);\(&quot;$&quot;#,##0\)"/>
    <numFmt numFmtId="165" formatCode="_(* #,##0.00_);_(* \(#,##0.00\);_(* &quot;-&quot;??_);_(@_)"/>
    <numFmt numFmtId="166" formatCode="_-&quot;$&quot;* #,##0_-;\-&quot;$&quot;* #,##0_-;_-&quot;$&quot;* &quot;-&quot;_-;_-@_-"/>
    <numFmt numFmtId="167" formatCode="_(#,##0_)_%;\(#,##0\)_%;_(&quot;–&quot;_)_%;_(@_)_%"/>
    <numFmt numFmtId="168" formatCode="_-* #,##0_-;\(#,##0\)_-;_-* &quot;-&quot;_-;_-@_-"/>
    <numFmt numFmtId="169" formatCode="0&quot;A&quot;"/>
    <numFmt numFmtId="170" formatCode="0&quot;F&quot;"/>
    <numFmt numFmtId="171" formatCode="_(#,##0_);\(#,##0\);_(&quot;–&quot;_);_(@_)"/>
    <numFmt numFmtId="172" formatCode="#,##0_);[Red]\(#,##0\);\-"/>
    <numFmt numFmtId="173" formatCode="#,##0_);\(#,##0\);\-"/>
    <numFmt numFmtId="174" formatCode="_(#,##0.0%_);\(#,##0.0%\);_(&quot;–&quot;_)_%;_(@_)_%"/>
    <numFmt numFmtId="175" formatCode="0&quot;E&quot;"/>
    <numFmt numFmtId="176" formatCode="0.0%"/>
    <numFmt numFmtId="177" formatCode="_(#,##0.00_);\(#,##0.00\);_(&quot;–&quot;_);_(@_)"/>
    <numFmt numFmtId="178" formatCode="#,##0.0_);\(#,##0.0\);\-"/>
    <numFmt numFmtId="179" formatCode="#,##0.00_);\(#,##0.00\);\-"/>
    <numFmt numFmtId="180" formatCode="_(#,##0%_);\(#,##0%\);_(&quot;–&quot;_)_%;_(@_)_%"/>
    <numFmt numFmtId="181" formatCode="_(#,##0.0_);\(#,##0.0\);_(&quot;–&quot;_);_(@_)"/>
    <numFmt numFmtId="182" formatCode="[=1]&quot;Yes&quot;_);[=0]&quot;No&quot;_)"/>
    <numFmt numFmtId="183" formatCode="@\⁽\¹\⁾"/>
    <numFmt numFmtId="184" formatCode="0.0\x"/>
    <numFmt numFmtId="185" formatCode="&quot;$&quot;#,##0.00"/>
    <numFmt numFmtId="186" formatCode="0\F"/>
    <numFmt numFmtId="187" formatCode="&quot;Year &quot;0"/>
    <numFmt numFmtId="188" formatCode="yyyy/mm/dd;@"/>
    <numFmt numFmtId="189" formatCode="_-* #,##0.00_-;\(#,##0.00\)_-;_-* &quot;-&quot;_-;_-@_-"/>
    <numFmt numFmtId="190" formatCode="_-* #,##0_-;\-* #,##0_-;_-* &quot;-&quot;??_-;_-@_-"/>
    <numFmt numFmtId="191" formatCode="_(0.00\x_);\(0.00\x\);_(&quot;–&quot;_);_(@_)"/>
    <numFmt numFmtId="192" formatCode="_(0.0\x_);\(0.0\x\);_(&quot;–&quot;_);_(@_)"/>
    <numFmt numFmtId="193" formatCode="[=1]&quot;On&quot;;[=2]&quot;Off&quot;"/>
    <numFmt numFmtId="194" formatCode="&quot;Yes&quot;;&quot;ERROR&quot;;&quot;No&quot;;&quot;ERROR&quot;"/>
    <numFmt numFmtId="195" formatCode="&quot;Year&quot;\ 0"/>
    <numFmt numFmtId="196" formatCode="0&quot;-Year Horizon&quot;"/>
    <numFmt numFmtId="197" formatCode="[=0]&quot;No&quot;_);[=1]&quot;Yes&quot;_)"/>
    <numFmt numFmtId="198" formatCode="_-* #,##0.0000_-;\(#,##0.0000\)_-;_-* &quot;-&quot;_-;_-@_-"/>
    <numFmt numFmtId="199" formatCode="&quot;Year&quot;\ 0_)"/>
    <numFmt numFmtId="200" formatCode="_(#,##0.00%_);\(#,##0.00%\);_(&quot;–&quot;_)_%;_(@_)_%"/>
    <numFmt numFmtId="201" formatCode="0.00000"/>
    <numFmt numFmtId="202" formatCode="&quot;Yes&quot;_);&quot;ERROR&quot;_);&quot;No&quot;_);&quot;ERROR&quot;_)"/>
    <numFmt numFmtId="203" formatCode="_([$$]#,##0.0_);\([$$]#,##0.0\);_(&quot;–&quot;_);_(@_)"/>
    <numFmt numFmtId="204" formatCode=";;;"/>
    <numFmt numFmtId="205" formatCode="_(&quot;$&quot;#,##0.0&quot;mm&quot;_);_(&quot;$&quot;* \(#,##0\);_(&quot;$&quot;* &quot;-&quot;_);_(@_)"/>
    <numFmt numFmtId="206" formatCode="0.0"/>
    <numFmt numFmtId="207" formatCode="#,##0.00_);\(#,##0.00\);\-\-_);* @_)"/>
    <numFmt numFmtId="208" formatCode="0.0%_);\(0.0%\);\-\-??;* @_%_)"/>
    <numFmt numFmtId="209" formatCode="#,##0.0"/>
    <numFmt numFmtId="210" formatCode="_(&quot;$&quot;#,##0.0&quot;bn&quot;_);_(&quot;$&quot;* \(#,##0\);_(&quot;$&quot;* &quot;-&quot;_);_(@_)"/>
    <numFmt numFmtId="211" formatCode="0&quot;-Year&quot;"/>
    <numFmt numFmtId="212" formatCode="&quot;SOFR &quot;\+\ 0&quot;bps&quot;_);&quot;B&quot;\-0&quot;bps&quot;_);&quot;B&quot;\+0&quot;bps&quot;_)"/>
    <numFmt numFmtId="213" formatCode="0&quot;&quot;"/>
  </numFmts>
  <fonts count="120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Open Sans"/>
      <family val="2"/>
    </font>
    <font>
      <sz val="10"/>
      <color theme="1"/>
      <name val="Open Sans"/>
      <family val="2"/>
    </font>
    <font>
      <sz val="10"/>
      <color theme="1"/>
      <name val="Open Sans"/>
      <family val="2"/>
    </font>
    <font>
      <sz val="10"/>
      <color theme="1"/>
      <name val="Open Sans"/>
      <family val="2"/>
    </font>
    <font>
      <sz val="10"/>
      <color theme="1"/>
      <name val="Open Sans"/>
      <family val="2"/>
    </font>
    <font>
      <sz val="10"/>
      <color theme="1"/>
      <name val="Open Sans"/>
      <family val="2"/>
    </font>
    <font>
      <sz val="11"/>
      <color theme="1"/>
      <name val="Calibri"/>
      <family val="2"/>
      <scheme val="minor"/>
    </font>
    <font>
      <b/>
      <sz val="10"/>
      <color theme="0"/>
      <name val="Open Sans"/>
      <family val="2"/>
    </font>
    <font>
      <sz val="10"/>
      <color theme="0"/>
      <name val="Open Sans"/>
      <family val="2"/>
    </font>
    <font>
      <u/>
      <sz val="10"/>
      <color theme="10"/>
      <name val="Arial"/>
      <family val="2"/>
    </font>
    <font>
      <b/>
      <sz val="16"/>
      <color theme="0"/>
      <name val="Open Sans"/>
      <family val="2"/>
    </font>
    <font>
      <sz val="10"/>
      <name val="Bookman"/>
      <family val="1"/>
    </font>
    <font>
      <sz val="11"/>
      <color theme="1"/>
      <name val="Open Sans"/>
      <family val="2"/>
    </font>
    <font>
      <i/>
      <sz val="11"/>
      <color theme="1"/>
      <name val="Open Sans"/>
      <family val="2"/>
    </font>
    <font>
      <sz val="14"/>
      <color theme="1"/>
      <name val="Open Sans"/>
      <family val="2"/>
    </font>
    <font>
      <b/>
      <sz val="14"/>
      <color rgb="FF3271D2"/>
      <name val="Open Sans"/>
      <family val="2"/>
    </font>
    <font>
      <b/>
      <sz val="14"/>
      <color rgb="FF0000FF"/>
      <name val="Open Sans"/>
      <family val="2"/>
    </font>
    <font>
      <i/>
      <sz val="9"/>
      <name val="Open Sans"/>
      <family val="2"/>
    </font>
    <font>
      <b/>
      <sz val="10"/>
      <name val="Open Sans"/>
      <family val="2"/>
    </font>
    <font>
      <sz val="11"/>
      <name val="Open Sans"/>
      <family val="2"/>
    </font>
    <font>
      <sz val="10"/>
      <color rgb="FF000000"/>
      <name val="Open Sans"/>
      <family val="2"/>
    </font>
    <font>
      <sz val="10"/>
      <name val="Open Sans"/>
      <family val="2"/>
    </font>
    <font>
      <sz val="10"/>
      <color rgb="FF3271D2"/>
      <name val="Open Sans"/>
      <family val="2"/>
    </font>
    <font>
      <b/>
      <sz val="10"/>
      <color rgb="FF000000"/>
      <name val="Open Sans"/>
      <family val="2"/>
    </font>
    <font>
      <i/>
      <sz val="8"/>
      <name val="Open Sans"/>
      <family val="2"/>
    </font>
    <font>
      <sz val="10"/>
      <color rgb="FF0000FF"/>
      <name val="Open Sans"/>
      <family val="2"/>
    </font>
    <font>
      <i/>
      <sz val="10"/>
      <color rgb="FF3271D2"/>
      <name val="Open Sans"/>
      <family val="2"/>
    </font>
    <font>
      <sz val="10"/>
      <color rgb="FFFF0000"/>
      <name val="Open Sans"/>
      <family val="2"/>
    </font>
    <font>
      <i/>
      <sz val="9"/>
      <color rgb="FF000000"/>
      <name val="Open Sans"/>
      <family val="2"/>
    </font>
    <font>
      <b/>
      <sz val="10"/>
      <color rgb="FFFFFFFF"/>
      <name val="Open Sans"/>
      <family val="2"/>
    </font>
    <font>
      <sz val="10"/>
      <color theme="9" tint="-0.249977111117893"/>
      <name val="Open Sans"/>
      <family val="2"/>
    </font>
    <font>
      <b/>
      <sz val="10"/>
      <color rgb="FF3271D2"/>
      <name val="Open Sans"/>
      <family val="2"/>
    </font>
    <font>
      <b/>
      <sz val="10"/>
      <color rgb="FFFF0000"/>
      <name val="Open Sans"/>
      <family val="2"/>
    </font>
    <font>
      <i/>
      <sz val="10"/>
      <color rgb="FFFF0000"/>
      <name val="Open Sans"/>
      <family val="2"/>
    </font>
    <font>
      <b/>
      <sz val="14"/>
      <color rgb="FF132E57"/>
      <name val="Open Sans"/>
      <family val="2"/>
    </font>
    <font>
      <b/>
      <sz val="11"/>
      <color theme="1"/>
      <name val="Open Sans"/>
      <family val="2"/>
    </font>
    <font>
      <sz val="10"/>
      <color rgb="FF002060"/>
      <name val="Open Sans"/>
      <family val="2"/>
    </font>
    <font>
      <sz val="12"/>
      <color theme="1"/>
      <name val="Open Sans"/>
      <family val="2"/>
    </font>
    <font>
      <b/>
      <sz val="10"/>
      <color theme="1"/>
      <name val="Open Sans"/>
      <family val="2"/>
    </font>
    <font>
      <b/>
      <sz val="13"/>
      <color indexed="8"/>
      <name val="Verdana"/>
      <family val="2"/>
    </font>
    <font>
      <sz val="10"/>
      <name val="Arial"/>
      <family val="2"/>
    </font>
    <font>
      <b/>
      <sz val="14"/>
      <color theme="2"/>
      <name val="Open Sans"/>
      <family val="2"/>
    </font>
    <font>
      <sz val="11"/>
      <color theme="1"/>
      <name val="Arial Narrow"/>
      <family val="2"/>
    </font>
    <font>
      <sz val="10"/>
      <color theme="2"/>
      <name val="Open Sans"/>
      <family val="2"/>
    </font>
    <font>
      <i/>
      <sz val="10"/>
      <color theme="1"/>
      <name val="Open Sans"/>
      <family val="2"/>
    </font>
    <font>
      <sz val="9"/>
      <name val="Open Sans"/>
      <family val="2"/>
    </font>
    <font>
      <i/>
      <sz val="10"/>
      <name val="Open Sans"/>
      <family val="2"/>
    </font>
    <font>
      <u/>
      <sz val="12"/>
      <color rgb="FF4472C4"/>
      <name val="Open Sans"/>
      <family val="2"/>
    </font>
    <font>
      <b/>
      <sz val="10"/>
      <color theme="7" tint="-0.249977111117893"/>
      <name val="Open Sans"/>
      <family val="2"/>
    </font>
    <font>
      <b/>
      <sz val="14"/>
      <color theme="0"/>
      <name val="Open Sans"/>
      <family val="2"/>
    </font>
    <font>
      <sz val="14"/>
      <name val="Open Sans"/>
      <family val="2"/>
    </font>
    <font>
      <sz val="8"/>
      <name val="Open Sans"/>
      <family val="2"/>
    </font>
    <font>
      <b/>
      <sz val="8"/>
      <name val="Open Sans"/>
      <family val="2"/>
    </font>
    <font>
      <sz val="11"/>
      <color rgb="FFFA621C"/>
      <name val="Open Sans"/>
      <family val="2"/>
    </font>
    <font>
      <sz val="14"/>
      <color rgb="FF000000"/>
      <name val="Open Sans"/>
      <family val="2"/>
    </font>
    <font>
      <sz val="11"/>
      <color rgb="FF000000"/>
      <name val="Open Sans"/>
      <family val="2"/>
    </font>
    <font>
      <vertAlign val="superscript"/>
      <sz val="10"/>
      <color rgb="FF000000"/>
      <name val="Open Sans"/>
      <family val="2"/>
    </font>
    <font>
      <sz val="10"/>
      <color rgb="FFC32838"/>
      <name val="Open Sans"/>
      <family val="2"/>
    </font>
    <font>
      <sz val="10"/>
      <color rgb="FF289A72"/>
      <name val="Open Sans"/>
      <family val="2"/>
    </font>
    <font>
      <sz val="11"/>
      <color rgb="FF3271D2"/>
      <name val="Open Sans"/>
      <family val="2"/>
    </font>
    <font>
      <u/>
      <sz val="11"/>
      <color rgb="FFFA621C"/>
      <name val="Open Sans"/>
      <family val="2"/>
    </font>
    <font>
      <sz val="10"/>
      <color rgb="FFFA621C"/>
      <name val="Open Sans"/>
      <family val="2"/>
    </font>
    <font>
      <b/>
      <sz val="11"/>
      <color rgb="FFFA621C"/>
      <name val="Open Sans"/>
      <family val="2"/>
    </font>
    <font>
      <sz val="11"/>
      <color rgb="FFC32838"/>
      <name val="Open Sans"/>
      <family val="2"/>
    </font>
    <font>
      <b/>
      <sz val="14"/>
      <name val="Open Sans"/>
      <family val="2"/>
    </font>
    <font>
      <b/>
      <sz val="11"/>
      <name val="Open Sans"/>
      <family val="2"/>
    </font>
    <font>
      <b/>
      <vertAlign val="superscript"/>
      <sz val="11"/>
      <name val="Open Sans"/>
      <family val="2"/>
    </font>
    <font>
      <b/>
      <i/>
      <sz val="10"/>
      <name val="Open Sans"/>
      <family val="2"/>
    </font>
    <font>
      <sz val="14"/>
      <color rgb="FFFFFFFF"/>
      <name val="Calibri"/>
      <family val="2"/>
      <scheme val="minor"/>
    </font>
    <font>
      <sz val="11"/>
      <color rgb="FF289A72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name val="Open Sans"/>
      <family val="2"/>
    </font>
    <font>
      <sz val="8"/>
      <color rgb="FF000000"/>
      <name val="Segoe UI"/>
      <charset val="1"/>
    </font>
    <font>
      <sz val="10"/>
      <color theme="1"/>
      <name val="Open Sans Regular"/>
    </font>
    <font>
      <sz val="10"/>
      <name val="Open Sans Regular"/>
    </font>
    <font>
      <b/>
      <sz val="10"/>
      <name val="Open Sans Regula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0"/>
      <name val="Open Sans Regular"/>
    </font>
    <font>
      <b/>
      <sz val="10"/>
      <color rgb="FF000000"/>
      <name val="Open Sans"/>
    </font>
    <font>
      <sz val="10"/>
      <name val="Open Sans"/>
    </font>
    <font>
      <b/>
      <sz val="10"/>
      <name val="Open Sans"/>
    </font>
    <font>
      <b/>
      <sz val="10"/>
      <color rgb="FF3271D2"/>
      <name val="Open Sans"/>
    </font>
    <font>
      <sz val="8"/>
      <name val="Arial"/>
      <family val="2"/>
    </font>
    <font>
      <b/>
      <sz val="11"/>
      <color theme="1"/>
      <name val="Open Sans"/>
    </font>
    <font>
      <b/>
      <sz val="10"/>
      <color theme="2"/>
      <name val="Open Sans"/>
    </font>
    <font>
      <b/>
      <sz val="11"/>
      <name val="Times New Roman"/>
      <family val="1"/>
    </font>
    <font>
      <sz val="11"/>
      <name val="Times New Roman"/>
      <family val="1"/>
    </font>
    <font>
      <sz val="10"/>
      <color rgb="FF000000"/>
      <name val="Open Sans"/>
    </font>
    <font>
      <sz val="12"/>
      <color theme="1"/>
      <name val="Times New Roman"/>
      <family val="1"/>
    </font>
    <font>
      <sz val="10"/>
      <color rgb="FF3271D2"/>
      <name val="Open Sans"/>
    </font>
    <font>
      <b/>
      <sz val="10"/>
      <name val="Open Sans"/>
      <family val="2"/>
      <charset val="1"/>
    </font>
    <font>
      <sz val="10"/>
      <name val="Open Sans"/>
      <family val="2"/>
      <charset val="1"/>
    </font>
    <font>
      <sz val="10"/>
      <color theme="2"/>
      <name val="Open Sans"/>
    </font>
    <font>
      <sz val="10"/>
      <color theme="3"/>
      <name val="Open Sans"/>
      <family val="2"/>
    </font>
    <font>
      <i/>
      <u/>
      <sz val="12"/>
      <color rgb="FF4472C4"/>
      <name val="Open Sans"/>
    </font>
    <font>
      <i/>
      <sz val="11"/>
      <name val="Open Sans"/>
    </font>
    <font>
      <i/>
      <u/>
      <sz val="11"/>
      <name val="Open Sans"/>
    </font>
    <font>
      <u/>
      <sz val="11"/>
      <color theme="1"/>
      <name val="Open Sans"/>
    </font>
    <font>
      <sz val="24"/>
      <color theme="0"/>
      <name val="Open Sans"/>
      <family val="2"/>
    </font>
    <font>
      <b/>
      <sz val="24"/>
      <color theme="0"/>
      <name val="Open Sans"/>
      <family val="2"/>
    </font>
    <font>
      <sz val="11"/>
      <color theme="0"/>
      <name val="Open Sans"/>
      <family val="2"/>
    </font>
    <font>
      <i/>
      <sz val="10"/>
      <name val="Open Sans"/>
    </font>
    <font>
      <b/>
      <sz val="13"/>
      <color theme="0"/>
      <name val="Open Sans"/>
      <family val="2"/>
    </font>
    <font>
      <b/>
      <sz val="12"/>
      <name val="Open Sans"/>
      <family val="2"/>
    </font>
    <font>
      <b/>
      <sz val="12"/>
      <color theme="0"/>
      <name val="Open Sans"/>
      <family val="2"/>
    </font>
    <font>
      <i/>
      <sz val="12"/>
      <name val="Open Sans"/>
      <family val="2"/>
    </font>
    <font>
      <b/>
      <i/>
      <sz val="10"/>
      <name val="Open Sans"/>
    </font>
    <font>
      <sz val="11"/>
      <color theme="1"/>
      <name val="Open Sans"/>
    </font>
    <font>
      <b/>
      <i/>
      <sz val="10"/>
      <name val="Open Sans Regular"/>
    </font>
    <font>
      <b/>
      <sz val="10"/>
      <color theme="1"/>
      <name val="Open Sans Regular"/>
    </font>
    <font>
      <sz val="12"/>
      <color rgb="FF000000"/>
      <name val="Open Sans"/>
      <family val="2"/>
    </font>
    <font>
      <b/>
      <sz val="12"/>
      <color rgb="FF132E57"/>
      <name val="Open Sans"/>
      <family val="2"/>
    </font>
    <font>
      <sz val="18"/>
      <color theme="1"/>
      <name val="Open Sans"/>
      <family val="2"/>
    </font>
    <font>
      <b/>
      <sz val="18"/>
      <name val="Open Sans"/>
      <family val="2"/>
    </font>
    <font>
      <sz val="18"/>
      <name val="Open Sans"/>
      <family val="2"/>
    </font>
    <font>
      <sz val="18"/>
      <color theme="2"/>
      <name val="Open Sans"/>
      <family val="2"/>
    </font>
  </fonts>
  <fills count="10">
    <fill>
      <patternFill patternType="none"/>
    </fill>
    <fill>
      <patternFill patternType="gray125"/>
    </fill>
    <fill>
      <patternFill patternType="solid">
        <fgColor rgb="FFD9E5F7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132E57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04A4DD"/>
        <bgColor indexed="64"/>
      </patternFill>
    </fill>
    <fill>
      <patternFill patternType="solid">
        <fgColor rgb="FFF5F5F5"/>
        <bgColor rgb="FF000000"/>
      </patternFill>
    </fill>
    <fill>
      <patternFill patternType="solid">
        <fgColor rgb="FFF5F5F5"/>
        <bgColor indexed="64"/>
      </patternFill>
    </fill>
    <fill>
      <patternFill patternType="solid">
        <fgColor rgb="FFF2F2F2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thin">
        <color rgb="FFFA621C"/>
      </left>
      <right/>
      <top style="thin">
        <color rgb="FFFA621C"/>
      </top>
      <bottom style="thin">
        <color rgb="FFFA621C"/>
      </bottom>
      <diagonal/>
    </border>
    <border>
      <left/>
      <right/>
      <top style="thin">
        <color rgb="FFFA621C"/>
      </top>
      <bottom style="thin">
        <color rgb="FFFA621C"/>
      </bottom>
      <diagonal/>
    </border>
    <border>
      <left/>
      <right style="thin">
        <color rgb="FFFA621C"/>
      </right>
      <top style="thin">
        <color rgb="FFFA621C"/>
      </top>
      <bottom style="thin">
        <color rgb="FFFA621C"/>
      </bottom>
      <diagonal/>
    </border>
    <border>
      <left style="thin">
        <color rgb="FFFA621C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404040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rgb="FFD9D9D9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4">
    <xf numFmtId="0" fontId="0" fillId="0" borderId="0"/>
    <xf numFmtId="9" fontId="8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8" fillId="0" borderId="0"/>
    <xf numFmtId="43" fontId="13" fillId="0" borderId="0" applyFont="0" applyFill="0" applyBorder="0" applyAlignment="0" applyProtection="0"/>
    <xf numFmtId="0" fontId="41" fillId="0" borderId="0" applyAlignment="0"/>
    <xf numFmtId="0" fontId="42" fillId="0" borderId="0"/>
    <xf numFmtId="43" fontId="13" fillId="0" borderId="0" applyFont="0" applyFill="0" applyBorder="0" applyAlignment="0" applyProtection="0"/>
    <xf numFmtId="165" fontId="44" fillId="0" borderId="0" applyFont="0" applyFill="0" applyBorder="0" applyAlignment="0" applyProtection="0"/>
    <xf numFmtId="9" fontId="42" fillId="0" borderId="0" applyFont="0" applyFill="0" applyBorder="0" applyAlignment="0" applyProtection="0"/>
    <xf numFmtId="165" fontId="42" fillId="0" borderId="0" applyFont="0" applyFill="0" applyBorder="0" applyAlignment="0" applyProtection="0"/>
    <xf numFmtId="0" fontId="44" fillId="0" borderId="0"/>
    <xf numFmtId="43" fontId="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3" fillId="0" borderId="0"/>
    <xf numFmtId="207" fontId="86" fillId="0" borderId="0" applyFont="0" applyFill="0" applyBorder="0" applyAlignment="0" applyProtection="0"/>
    <xf numFmtId="208" fontId="86" fillId="0" borderId="0" applyFont="0" applyFill="0" applyBorder="0" applyAlignment="0" applyProtection="0"/>
  </cellStyleXfs>
  <cellXfs count="700">
    <xf numFmtId="0" fontId="0" fillId="0" borderId="0" xfId="0"/>
    <xf numFmtId="168" fontId="14" fillId="0" borderId="0" xfId="5" applyNumberFormat="1" applyFont="1" applyProtection="1">
      <protection locked="0"/>
    </xf>
    <xf numFmtId="168" fontId="15" fillId="0" borderId="0" xfId="5" applyNumberFormat="1" applyFont="1" applyProtection="1">
      <protection locked="0"/>
    </xf>
    <xf numFmtId="168" fontId="15" fillId="0" borderId="0" xfId="5" applyNumberFormat="1" applyFont="1" applyAlignment="1" applyProtection="1">
      <alignment horizontal="center"/>
      <protection locked="0"/>
    </xf>
    <xf numFmtId="168" fontId="15" fillId="0" borderId="0" xfId="5" applyNumberFormat="1" applyFont="1" applyAlignment="1">
      <alignment horizontal="right"/>
    </xf>
    <xf numFmtId="37" fontId="16" fillId="0" borderId="0" xfId="0" applyNumberFormat="1" applyFont="1" applyAlignment="1">
      <alignment vertical="center"/>
    </xf>
    <xf numFmtId="37" fontId="18" fillId="0" borderId="0" xfId="0" applyNumberFormat="1" applyFont="1" applyAlignment="1">
      <alignment vertical="center"/>
    </xf>
    <xf numFmtId="37" fontId="9" fillId="0" borderId="0" xfId="0" applyNumberFormat="1" applyFont="1" applyAlignment="1">
      <alignment vertical="center"/>
    </xf>
    <xf numFmtId="37" fontId="10" fillId="0" borderId="0" xfId="0" applyNumberFormat="1" applyFont="1" applyAlignment="1">
      <alignment vertical="center"/>
    </xf>
    <xf numFmtId="169" fontId="9" fillId="0" borderId="0" xfId="0" applyNumberFormat="1" applyFont="1" applyAlignment="1">
      <alignment horizontal="right"/>
    </xf>
    <xf numFmtId="167" fontId="19" fillId="0" borderId="0" xfId="0" applyNumberFormat="1" applyFont="1" applyAlignment="1">
      <alignment vertical="center"/>
    </xf>
    <xf numFmtId="169" fontId="20" fillId="0" borderId="0" xfId="0" applyNumberFormat="1" applyFont="1" applyAlignment="1">
      <alignment horizontal="right"/>
    </xf>
    <xf numFmtId="0" fontId="21" fillId="0" borderId="0" xfId="0" applyFont="1"/>
    <xf numFmtId="0" fontId="22" fillId="0" borderId="0" xfId="0" applyFont="1" applyAlignment="1">
      <alignment horizontal="left"/>
    </xf>
    <xf numFmtId="0" fontId="23" fillId="0" borderId="0" xfId="0" applyFont="1"/>
    <xf numFmtId="0" fontId="25" fillId="0" borderId="0" xfId="0" applyFont="1" applyAlignment="1">
      <alignment horizontal="left"/>
    </xf>
    <xf numFmtId="0" fontId="20" fillId="0" borderId="0" xfId="0" applyFont="1"/>
    <xf numFmtId="173" fontId="23" fillId="0" borderId="0" xfId="0" applyNumberFormat="1" applyFont="1"/>
    <xf numFmtId="173" fontId="22" fillId="0" borderId="0" xfId="0" applyNumberFormat="1" applyFont="1"/>
    <xf numFmtId="0" fontId="22" fillId="0" borderId="0" xfId="0" applyFont="1"/>
    <xf numFmtId="0" fontId="26" fillId="0" borderId="0" xfId="0" applyFont="1" applyAlignment="1">
      <alignment horizontal="center"/>
    </xf>
    <xf numFmtId="0" fontId="23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167" fontId="19" fillId="0" borderId="1" xfId="0" applyNumberFormat="1" applyFont="1" applyBorder="1" applyAlignment="1">
      <alignment vertical="center"/>
    </xf>
    <xf numFmtId="37" fontId="9" fillId="0" borderId="1" xfId="0" applyNumberFormat="1" applyFont="1" applyBorder="1" applyAlignment="1">
      <alignment vertical="center"/>
    </xf>
    <xf numFmtId="169" fontId="20" fillId="0" borderId="1" xfId="0" applyNumberFormat="1" applyFont="1" applyBorder="1" applyAlignment="1">
      <alignment horizontal="right"/>
    </xf>
    <xf numFmtId="0" fontId="22" fillId="0" borderId="1" xfId="0" applyFont="1" applyBorder="1"/>
    <xf numFmtId="170" fontId="20" fillId="0" borderId="0" xfId="0" applyNumberFormat="1" applyFont="1" applyAlignment="1">
      <alignment horizontal="right"/>
    </xf>
    <xf numFmtId="171" fontId="23" fillId="0" borderId="0" xfId="0" applyNumberFormat="1" applyFont="1"/>
    <xf numFmtId="0" fontId="29" fillId="0" borderId="0" xfId="0" applyFont="1" applyAlignment="1">
      <alignment horizontal="left"/>
    </xf>
    <xf numFmtId="172" fontId="23" fillId="0" borderId="0" xfId="0" applyNumberFormat="1" applyFont="1"/>
    <xf numFmtId="176" fontId="28" fillId="0" borderId="0" xfId="1" applyNumberFormat="1" applyFont="1" applyBorder="1"/>
    <xf numFmtId="170" fontId="20" fillId="0" borderId="1" xfId="0" applyNumberFormat="1" applyFont="1" applyBorder="1" applyAlignment="1">
      <alignment horizontal="right"/>
    </xf>
    <xf numFmtId="167" fontId="30" fillId="0" borderId="1" xfId="0" applyNumberFormat="1" applyFont="1" applyBorder="1" applyAlignment="1">
      <alignment vertical="center"/>
    </xf>
    <xf numFmtId="37" fontId="31" fillId="0" borderId="1" xfId="0" applyNumberFormat="1" applyFont="1" applyBorder="1" applyAlignment="1">
      <alignment vertical="center"/>
    </xf>
    <xf numFmtId="169" fontId="25" fillId="0" borderId="1" xfId="0" applyNumberFormat="1" applyFont="1" applyBorder="1" applyAlignment="1">
      <alignment horizontal="right"/>
    </xf>
    <xf numFmtId="170" fontId="25" fillId="0" borderId="1" xfId="0" applyNumberFormat="1" applyFont="1" applyBorder="1" applyAlignment="1">
      <alignment horizontal="right"/>
    </xf>
    <xf numFmtId="178" fontId="22" fillId="0" borderId="0" xfId="0" applyNumberFormat="1" applyFont="1" applyAlignment="1">
      <alignment horizontal="left"/>
    </xf>
    <xf numFmtId="172" fontId="32" fillId="0" borderId="0" xfId="0" applyNumberFormat="1" applyFont="1"/>
    <xf numFmtId="174" fontId="24" fillId="0" borderId="0" xfId="0" applyNumberFormat="1" applyFont="1" applyAlignment="1">
      <alignment horizontal="right"/>
    </xf>
    <xf numFmtId="173" fontId="22" fillId="0" borderId="1" xfId="0" applyNumberFormat="1" applyFont="1" applyBorder="1"/>
    <xf numFmtId="171" fontId="22" fillId="0" borderId="1" xfId="0" applyNumberFormat="1" applyFont="1" applyBorder="1"/>
    <xf numFmtId="171" fontId="22" fillId="0" borderId="0" xfId="0" applyNumberFormat="1" applyFont="1"/>
    <xf numFmtId="171" fontId="24" fillId="0" borderId="0" xfId="0" applyNumberFormat="1" applyFont="1" applyAlignment="1">
      <alignment horizontal="right"/>
    </xf>
    <xf numFmtId="179" fontId="22" fillId="0" borderId="0" xfId="0" applyNumberFormat="1" applyFont="1"/>
    <xf numFmtId="169" fontId="34" fillId="0" borderId="0" xfId="0" applyNumberFormat="1" applyFont="1"/>
    <xf numFmtId="167" fontId="30" fillId="0" borderId="0" xfId="0" applyNumberFormat="1" applyFont="1" applyAlignment="1">
      <alignment vertical="center"/>
    </xf>
    <xf numFmtId="37" fontId="31" fillId="0" borderId="0" xfId="0" applyNumberFormat="1" applyFont="1" applyAlignment="1">
      <alignment vertical="center"/>
    </xf>
    <xf numFmtId="176" fontId="24" fillId="0" borderId="0" xfId="1" applyNumberFormat="1" applyFont="1" applyFill="1" applyBorder="1" applyAlignment="1"/>
    <xf numFmtId="167" fontId="30" fillId="0" borderId="7" xfId="0" applyNumberFormat="1" applyFont="1" applyBorder="1" applyAlignment="1">
      <alignment vertical="center"/>
    </xf>
    <xf numFmtId="37" fontId="31" fillId="0" borderId="7" xfId="0" applyNumberFormat="1" applyFont="1" applyBorder="1" applyAlignment="1">
      <alignment vertical="center"/>
    </xf>
    <xf numFmtId="0" fontId="22" fillId="0" borderId="6" xfId="0" applyFont="1" applyBorder="1" applyAlignment="1">
      <alignment horizontal="left"/>
    </xf>
    <xf numFmtId="168" fontId="14" fillId="0" borderId="0" xfId="8" applyNumberFormat="1" applyFont="1" applyProtection="1">
      <protection locked="0"/>
    </xf>
    <xf numFmtId="168" fontId="15" fillId="0" borderId="0" xfId="8" applyNumberFormat="1" applyFont="1" applyProtection="1">
      <protection locked="0"/>
    </xf>
    <xf numFmtId="168" fontId="15" fillId="0" borderId="0" xfId="8" applyNumberFormat="1" applyFont="1" applyAlignment="1" applyProtection="1">
      <alignment horizontal="center"/>
      <protection locked="0"/>
    </xf>
    <xf numFmtId="168" fontId="15" fillId="0" borderId="0" xfId="8" applyNumberFormat="1" applyFont="1" applyAlignment="1">
      <alignment horizontal="right"/>
    </xf>
    <xf numFmtId="167" fontId="19" fillId="0" borderId="0" xfId="7" applyNumberFormat="1" applyFont="1" applyAlignment="1">
      <alignment vertical="center"/>
    </xf>
    <xf numFmtId="0" fontId="23" fillId="0" borderId="0" xfId="7" applyFont="1"/>
    <xf numFmtId="168" fontId="23" fillId="0" borderId="0" xfId="9" applyNumberFormat="1" applyFont="1" applyProtection="1">
      <protection locked="0"/>
    </xf>
    <xf numFmtId="0" fontId="45" fillId="0" borderId="0" xfId="7" applyFont="1"/>
    <xf numFmtId="168" fontId="23" fillId="0" borderId="0" xfId="9" applyNumberFormat="1" applyFont="1" applyBorder="1" applyProtection="1">
      <protection locked="0"/>
    </xf>
    <xf numFmtId="0" fontId="20" fillId="0" borderId="0" xfId="7" applyFont="1"/>
    <xf numFmtId="0" fontId="23" fillId="0" borderId="0" xfId="7" applyFont="1" applyAlignment="1">
      <alignment horizontal="right"/>
    </xf>
    <xf numFmtId="186" fontId="20" fillId="0" borderId="0" xfId="7" applyNumberFormat="1" applyFont="1"/>
    <xf numFmtId="0" fontId="20" fillId="0" borderId="0" xfId="4" applyFont="1"/>
    <xf numFmtId="0" fontId="20" fillId="0" borderId="0" xfId="4" applyFont="1" applyAlignment="1">
      <alignment horizontal="right"/>
    </xf>
    <xf numFmtId="168" fontId="23" fillId="0" borderId="0" xfId="9" applyNumberFormat="1" applyFont="1" applyFill="1" applyBorder="1" applyProtection="1">
      <protection locked="0"/>
    </xf>
    <xf numFmtId="168" fontId="23" fillId="0" borderId="0" xfId="9" applyNumberFormat="1" applyFont="1" applyFill="1" applyProtection="1">
      <protection locked="0"/>
    </xf>
    <xf numFmtId="37" fontId="16" fillId="0" borderId="0" xfId="7" applyNumberFormat="1" applyFont="1" applyAlignment="1">
      <alignment vertical="center"/>
    </xf>
    <xf numFmtId="37" fontId="18" fillId="0" borderId="0" xfId="7" applyNumberFormat="1" applyFont="1" applyAlignment="1">
      <alignment vertical="center"/>
    </xf>
    <xf numFmtId="37" fontId="9" fillId="0" borderId="0" xfId="7" applyNumberFormat="1" applyFont="1" applyAlignment="1">
      <alignment vertical="center"/>
    </xf>
    <xf numFmtId="37" fontId="10" fillId="0" borderId="0" xfId="7" applyNumberFormat="1" applyFont="1" applyAlignment="1">
      <alignment vertical="center"/>
    </xf>
    <xf numFmtId="169" fontId="9" fillId="0" borderId="0" xfId="7" applyNumberFormat="1" applyFont="1" applyAlignment="1">
      <alignment horizontal="right"/>
    </xf>
    <xf numFmtId="169" fontId="20" fillId="0" borderId="0" xfId="7" applyNumberFormat="1" applyFont="1" applyAlignment="1">
      <alignment horizontal="right"/>
    </xf>
    <xf numFmtId="171" fontId="23" fillId="0" borderId="0" xfId="9" applyNumberFormat="1" applyFont="1" applyFill="1" applyProtection="1">
      <protection locked="0"/>
    </xf>
    <xf numFmtId="171" fontId="45" fillId="0" borderId="0" xfId="9" applyNumberFormat="1" applyFont="1" applyFill="1" applyProtection="1">
      <protection locked="0"/>
    </xf>
    <xf numFmtId="169" fontId="10" fillId="0" borderId="0" xfId="7" applyNumberFormat="1" applyFont="1" applyAlignment="1">
      <alignment horizontal="right"/>
    </xf>
    <xf numFmtId="169" fontId="23" fillId="0" borderId="0" xfId="7" applyNumberFormat="1" applyFont="1" applyAlignment="1">
      <alignment horizontal="right"/>
    </xf>
    <xf numFmtId="0" fontId="22" fillId="0" borderId="0" xfId="7" applyFont="1" applyAlignment="1">
      <alignment horizontal="left"/>
    </xf>
    <xf numFmtId="0" fontId="23" fillId="0" borderId="0" xfId="7" applyFont="1" applyAlignment="1">
      <alignment horizontal="left"/>
    </xf>
    <xf numFmtId="171" fontId="23" fillId="0" borderId="0" xfId="7" applyNumberFormat="1" applyFont="1"/>
    <xf numFmtId="168" fontId="20" fillId="0" borderId="0" xfId="9" applyNumberFormat="1" applyFont="1" applyProtection="1">
      <protection locked="0"/>
    </xf>
    <xf numFmtId="168" fontId="20" fillId="0" borderId="0" xfId="9" applyNumberFormat="1" applyFont="1" applyAlignment="1" applyProtection="1">
      <alignment horizontal="right"/>
      <protection locked="0"/>
    </xf>
    <xf numFmtId="164" fontId="20" fillId="0" borderId="0" xfId="9" applyNumberFormat="1" applyFont="1" applyAlignment="1" applyProtection="1">
      <alignment horizontal="right"/>
      <protection locked="0"/>
    </xf>
    <xf numFmtId="171" fontId="23" fillId="0" borderId="0" xfId="9" applyNumberFormat="1" applyFont="1" applyFill="1" applyBorder="1" applyAlignment="1" applyProtection="1">
      <alignment horizontal="right"/>
      <protection locked="0"/>
    </xf>
    <xf numFmtId="176" fontId="23" fillId="0" borderId="0" xfId="10" applyNumberFormat="1" applyFont="1" applyFill="1" applyBorder="1" applyProtection="1">
      <protection locked="0"/>
    </xf>
    <xf numFmtId="168" fontId="23" fillId="0" borderId="0" xfId="9" applyNumberFormat="1" applyFont="1" applyBorder="1" applyAlignment="1" applyProtection="1">
      <alignment horizontal="center"/>
      <protection locked="0"/>
    </xf>
    <xf numFmtId="171" fontId="24" fillId="0" borderId="0" xfId="9" applyNumberFormat="1" applyFont="1" applyFill="1" applyProtection="1">
      <protection locked="0"/>
    </xf>
    <xf numFmtId="168" fontId="20" fillId="0" borderId="0" xfId="9" applyNumberFormat="1" applyFont="1" applyBorder="1" applyProtection="1">
      <protection locked="0"/>
    </xf>
    <xf numFmtId="171" fontId="24" fillId="0" borderId="0" xfId="9" applyNumberFormat="1" applyFont="1" applyFill="1" applyBorder="1" applyProtection="1">
      <protection locked="0"/>
    </xf>
    <xf numFmtId="171" fontId="23" fillId="0" borderId="0" xfId="9" applyNumberFormat="1" applyFont="1" applyFill="1" applyBorder="1" applyProtection="1">
      <protection locked="0"/>
    </xf>
    <xf numFmtId="171" fontId="23" fillId="0" borderId="0" xfId="9" applyNumberFormat="1" applyFont="1" applyBorder="1" applyProtection="1">
      <protection locked="0"/>
    </xf>
    <xf numFmtId="171" fontId="20" fillId="0" borderId="0" xfId="9" applyNumberFormat="1" applyFont="1" applyFill="1" applyBorder="1" applyProtection="1">
      <protection locked="0"/>
    </xf>
    <xf numFmtId="171" fontId="23" fillId="0" borderId="0" xfId="9" applyNumberFormat="1" applyFont="1" applyProtection="1">
      <protection locked="0"/>
    </xf>
    <xf numFmtId="171" fontId="20" fillId="0" borderId="0" xfId="9" applyNumberFormat="1" applyFont="1" applyFill="1" applyProtection="1">
      <protection locked="0"/>
    </xf>
    <xf numFmtId="168" fontId="20" fillId="0" borderId="0" xfId="9" applyNumberFormat="1" applyFont="1" applyFill="1" applyAlignment="1" applyProtection="1">
      <alignment horizontal="center"/>
      <protection locked="0"/>
    </xf>
    <xf numFmtId="171" fontId="45" fillId="0" borderId="0" xfId="9" applyNumberFormat="1" applyFont="1" applyBorder="1" applyProtection="1">
      <protection locked="0"/>
    </xf>
    <xf numFmtId="168" fontId="23" fillId="0" borderId="0" xfId="9" applyNumberFormat="1" applyFont="1" applyFill="1" applyBorder="1" applyAlignment="1" applyProtection="1">
      <alignment horizontal="center"/>
      <protection locked="0"/>
    </xf>
    <xf numFmtId="171" fontId="45" fillId="0" borderId="0" xfId="9" applyNumberFormat="1" applyFont="1" applyFill="1" applyBorder="1" applyProtection="1">
      <protection locked="0"/>
    </xf>
    <xf numFmtId="171" fontId="27" fillId="0" borderId="0" xfId="9" applyNumberFormat="1" applyFont="1" applyFill="1" applyBorder="1" applyProtection="1">
      <protection locked="0"/>
    </xf>
    <xf numFmtId="0" fontId="23" fillId="0" borderId="1" xfId="7" applyFont="1" applyBorder="1"/>
    <xf numFmtId="0" fontId="23" fillId="0" borderId="0" xfId="7" applyFont="1" applyAlignment="1">
      <alignment horizontal="left" indent="1"/>
    </xf>
    <xf numFmtId="168" fontId="20" fillId="0" borderId="0" xfId="9" applyNumberFormat="1" applyFont="1" applyFill="1" applyProtection="1">
      <protection locked="0"/>
    </xf>
    <xf numFmtId="168" fontId="20" fillId="0" borderId="0" xfId="9" applyNumberFormat="1" applyFont="1" applyFill="1" applyBorder="1" applyProtection="1">
      <protection locked="0"/>
    </xf>
    <xf numFmtId="168" fontId="48" fillId="0" borderId="0" xfId="9" applyNumberFormat="1" applyFont="1" applyFill="1" applyBorder="1" applyProtection="1">
      <protection locked="0"/>
    </xf>
    <xf numFmtId="168" fontId="48" fillId="0" borderId="0" xfId="9" applyNumberFormat="1" applyFont="1" applyFill="1" applyBorder="1" applyAlignment="1" applyProtection="1">
      <alignment horizontal="center"/>
      <protection locked="0"/>
    </xf>
    <xf numFmtId="168" fontId="23" fillId="0" borderId="0" xfId="9" applyNumberFormat="1" applyFont="1" applyFill="1" applyAlignment="1" applyProtection="1">
      <alignment horizontal="center"/>
      <protection locked="0"/>
    </xf>
    <xf numFmtId="168" fontId="40" fillId="0" borderId="0" xfId="9" applyNumberFormat="1" applyFont="1" applyFill="1" applyBorder="1" applyAlignment="1" applyProtection="1">
      <alignment horizontal="center"/>
      <protection locked="0"/>
    </xf>
    <xf numFmtId="171" fontId="48" fillId="0" borderId="0" xfId="9" applyNumberFormat="1" applyFont="1" applyBorder="1" applyAlignment="1" applyProtection="1">
      <alignment horizontal="right"/>
      <protection locked="0"/>
    </xf>
    <xf numFmtId="171" fontId="48" fillId="0" borderId="0" xfId="9" applyNumberFormat="1" applyFont="1" applyFill="1" applyBorder="1" applyAlignment="1" applyProtection="1">
      <alignment horizontal="right"/>
      <protection locked="0"/>
    </xf>
    <xf numFmtId="168" fontId="20" fillId="0" borderId="0" xfId="9" applyNumberFormat="1" applyFont="1" applyFill="1" applyBorder="1" applyAlignment="1" applyProtection="1">
      <alignment horizontal="center"/>
      <protection locked="0"/>
    </xf>
    <xf numFmtId="189" fontId="23" fillId="0" borderId="0" xfId="9" applyNumberFormat="1" applyFont="1" applyFill="1" applyBorder="1" applyProtection="1">
      <protection locked="0"/>
    </xf>
    <xf numFmtId="186" fontId="20" fillId="0" borderId="0" xfId="9" applyNumberFormat="1" applyFont="1" applyFill="1" applyBorder="1" applyAlignment="1" applyProtection="1">
      <alignment horizontal="right"/>
      <protection locked="0"/>
    </xf>
    <xf numFmtId="14" fontId="23" fillId="0" borderId="0" xfId="9" applyNumberFormat="1" applyFont="1" applyFill="1" applyBorder="1" applyProtection="1">
      <protection locked="0"/>
    </xf>
    <xf numFmtId="171" fontId="22" fillId="0" borderId="2" xfId="0" applyNumberFormat="1" applyFont="1" applyBorder="1"/>
    <xf numFmtId="171" fontId="20" fillId="0" borderId="0" xfId="0" applyNumberFormat="1" applyFont="1" applyAlignment="1">
      <alignment horizontal="right"/>
    </xf>
    <xf numFmtId="38" fontId="23" fillId="0" borderId="0" xfId="0" applyNumberFormat="1" applyFont="1"/>
    <xf numFmtId="40" fontId="23" fillId="0" borderId="0" xfId="0" applyNumberFormat="1" applyFont="1"/>
    <xf numFmtId="173" fontId="27" fillId="0" borderId="0" xfId="0" applyNumberFormat="1" applyFont="1"/>
    <xf numFmtId="173" fontId="25" fillId="0" borderId="2" xfId="0" applyNumberFormat="1" applyFont="1" applyBorder="1"/>
    <xf numFmtId="167" fontId="49" fillId="0" borderId="0" xfId="2" applyNumberFormat="1" applyFont="1" applyFill="1" applyBorder="1" applyProtection="1">
      <protection locked="0"/>
    </xf>
    <xf numFmtId="0" fontId="38" fillId="0" borderId="0" xfId="3" applyFont="1" applyFill="1" applyBorder="1" applyProtection="1">
      <protection locked="0"/>
    </xf>
    <xf numFmtId="171" fontId="22" fillId="0" borderId="0" xfId="9" applyNumberFormat="1" applyFont="1" applyFill="1" applyBorder="1" applyAlignment="1" applyProtection="1">
      <protection locked="0"/>
    </xf>
    <xf numFmtId="9" fontId="23" fillId="0" borderId="0" xfId="10" applyFont="1" applyFill="1" applyBorder="1" applyProtection="1">
      <protection locked="0"/>
    </xf>
    <xf numFmtId="168" fontId="40" fillId="0" borderId="0" xfId="9" applyNumberFormat="1" applyFont="1" applyFill="1" applyBorder="1" applyProtection="1">
      <protection locked="0"/>
    </xf>
    <xf numFmtId="171" fontId="9" fillId="0" borderId="0" xfId="7" applyNumberFormat="1" applyFont="1" applyAlignment="1">
      <alignment horizontal="right"/>
    </xf>
    <xf numFmtId="184" fontId="22" fillId="0" borderId="0" xfId="9" applyNumberFormat="1" applyFont="1" applyFill="1" applyBorder="1" applyAlignment="1" applyProtection="1">
      <alignment horizontal="right"/>
      <protection locked="0"/>
    </xf>
    <xf numFmtId="169" fontId="20" fillId="0" borderId="0" xfId="7" applyNumberFormat="1" applyFont="1" applyAlignment="1">
      <alignment horizontal="centerContinuous"/>
    </xf>
    <xf numFmtId="0" fontId="22" fillId="0" borderId="0" xfId="7" applyFont="1"/>
    <xf numFmtId="169" fontId="50" fillId="0" borderId="0" xfId="7" applyNumberFormat="1" applyFont="1" applyAlignment="1">
      <alignment horizontal="right"/>
    </xf>
    <xf numFmtId="169" fontId="33" fillId="0" borderId="0" xfId="0" applyNumberFormat="1" applyFont="1" applyAlignment="1">
      <alignment horizontal="right"/>
    </xf>
    <xf numFmtId="171" fontId="23" fillId="0" borderId="1" xfId="7" applyNumberFormat="1" applyFont="1" applyBorder="1"/>
    <xf numFmtId="171" fontId="23" fillId="0" borderId="1" xfId="9" applyNumberFormat="1" applyFont="1" applyFill="1" applyBorder="1" applyProtection="1">
      <protection locked="0"/>
    </xf>
    <xf numFmtId="171" fontId="45" fillId="0" borderId="1" xfId="9" applyNumberFormat="1" applyFont="1" applyFill="1" applyBorder="1" applyProtection="1">
      <protection locked="0"/>
    </xf>
    <xf numFmtId="173" fontId="25" fillId="0" borderId="0" xfId="0" applyNumberFormat="1" applyFont="1"/>
    <xf numFmtId="171" fontId="24" fillId="0" borderId="0" xfId="7" applyNumberFormat="1" applyFont="1"/>
    <xf numFmtId="171" fontId="23" fillId="0" borderId="0" xfId="7" applyNumberFormat="1" applyFont="1" applyAlignment="1">
      <alignment horizontal="center"/>
    </xf>
    <xf numFmtId="0" fontId="48" fillId="0" borderId="0" xfId="7" applyFont="1"/>
    <xf numFmtId="168" fontId="23" fillId="0" borderId="1" xfId="9" applyNumberFormat="1" applyFont="1" applyFill="1" applyBorder="1" applyProtection="1">
      <protection locked="0"/>
    </xf>
    <xf numFmtId="168" fontId="23" fillId="0" borderId="1" xfId="9" applyNumberFormat="1" applyFont="1" applyFill="1" applyBorder="1" applyAlignment="1" applyProtection="1">
      <alignment horizontal="center"/>
      <protection locked="0"/>
    </xf>
    <xf numFmtId="182" fontId="22" fillId="0" borderId="1" xfId="0" applyNumberFormat="1" applyFont="1" applyBorder="1"/>
    <xf numFmtId="182" fontId="22" fillId="0" borderId="12" xfId="0" applyNumberFormat="1" applyFont="1" applyBorder="1"/>
    <xf numFmtId="185" fontId="23" fillId="0" borderId="0" xfId="7" applyNumberFormat="1" applyFont="1"/>
    <xf numFmtId="176" fontId="23" fillId="0" borderId="0" xfId="10" applyNumberFormat="1" applyFont="1"/>
    <xf numFmtId="0" fontId="35" fillId="0" borderId="0" xfId="7" applyFont="1"/>
    <xf numFmtId="169" fontId="51" fillId="0" borderId="0" xfId="0" applyNumberFormat="1" applyFont="1" applyAlignment="1">
      <alignment horizontal="right" vertical="center"/>
    </xf>
    <xf numFmtId="0" fontId="39" fillId="0" borderId="0" xfId="0" applyFont="1"/>
    <xf numFmtId="0" fontId="23" fillId="0" borderId="0" xfId="0" applyFont="1" applyAlignment="1">
      <alignment horizontal="right" vertical="center"/>
    </xf>
    <xf numFmtId="0" fontId="23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188" fontId="27" fillId="0" borderId="0" xfId="0" applyNumberFormat="1" applyFont="1" applyAlignment="1">
      <alignment horizontal="right" vertical="center"/>
    </xf>
    <xf numFmtId="0" fontId="46" fillId="0" borderId="0" xfId="0" applyFont="1" applyAlignment="1">
      <alignment horizontal="right" vertical="center"/>
    </xf>
    <xf numFmtId="0" fontId="22" fillId="0" borderId="0" xfId="0" applyFont="1" applyAlignment="1">
      <alignment horizontal="center" vertical="center"/>
    </xf>
    <xf numFmtId="173" fontId="23" fillId="0" borderId="1" xfId="0" applyNumberFormat="1" applyFont="1" applyBorder="1"/>
    <xf numFmtId="168" fontId="14" fillId="0" borderId="0" xfId="8" applyNumberFormat="1" applyFont="1" applyBorder="1" applyProtection="1">
      <protection locked="0"/>
    </xf>
    <xf numFmtId="168" fontId="15" fillId="0" borderId="0" xfId="8" applyNumberFormat="1" applyFont="1" applyBorder="1" applyProtection="1">
      <protection locked="0"/>
    </xf>
    <xf numFmtId="168" fontId="15" fillId="0" borderId="0" xfId="8" applyNumberFormat="1" applyFont="1" applyBorder="1" applyAlignment="1" applyProtection="1">
      <alignment horizontal="center"/>
      <protection locked="0"/>
    </xf>
    <xf numFmtId="168" fontId="15" fillId="0" borderId="0" xfId="8" applyNumberFormat="1" applyFont="1" applyBorder="1" applyAlignment="1">
      <alignment horizontal="right"/>
    </xf>
    <xf numFmtId="171" fontId="20" fillId="0" borderId="0" xfId="7" applyNumberFormat="1" applyFont="1"/>
    <xf numFmtId="0" fontId="20" fillId="0" borderId="0" xfId="7" applyFont="1" applyAlignment="1">
      <alignment horizontal="right"/>
    </xf>
    <xf numFmtId="37" fontId="43" fillId="0" borderId="0" xfId="7" applyNumberFormat="1" applyFont="1" applyAlignment="1">
      <alignment vertical="center"/>
    </xf>
    <xf numFmtId="0" fontId="23" fillId="0" borderId="0" xfId="4" applyFont="1" applyAlignment="1">
      <alignment horizontal="left"/>
    </xf>
    <xf numFmtId="174" fontId="23" fillId="0" borderId="0" xfId="10" applyNumberFormat="1" applyFont="1" applyFill="1" applyBorder="1" applyAlignment="1" applyProtection="1">
      <alignment horizontal="right"/>
      <protection locked="0"/>
    </xf>
    <xf numFmtId="9" fontId="22" fillId="0" borderId="0" xfId="10" applyFont="1" applyFill="1" applyBorder="1" applyAlignment="1" applyProtection="1">
      <protection locked="0"/>
    </xf>
    <xf numFmtId="37" fontId="52" fillId="0" borderId="0" xfId="7" applyNumberFormat="1" applyFont="1" applyAlignment="1">
      <alignment vertical="center"/>
    </xf>
    <xf numFmtId="171" fontId="48" fillId="0" borderId="0" xfId="0" applyNumberFormat="1" applyFont="1" applyAlignment="1">
      <alignment horizontal="right" vertical="center"/>
    </xf>
    <xf numFmtId="171" fontId="27" fillId="0" borderId="0" xfId="0" applyNumberFormat="1" applyFont="1" applyAlignment="1">
      <alignment horizontal="right" vertical="center"/>
    </xf>
    <xf numFmtId="171" fontId="39" fillId="0" borderId="0" xfId="0" applyNumberFormat="1" applyFont="1" applyAlignment="1">
      <alignment horizontal="right"/>
    </xf>
    <xf numFmtId="0" fontId="39" fillId="0" borderId="1" xfId="0" applyFont="1" applyBorder="1"/>
    <xf numFmtId="0" fontId="23" fillId="0" borderId="1" xfId="0" applyFont="1" applyBorder="1" applyAlignment="1">
      <alignment horizontal="right" vertical="center"/>
    </xf>
    <xf numFmtId="169" fontId="51" fillId="0" borderId="1" xfId="0" applyNumberFormat="1" applyFont="1" applyBorder="1" applyAlignment="1">
      <alignment horizontal="right" vertical="center"/>
    </xf>
    <xf numFmtId="188" fontId="23" fillId="0" borderId="0" xfId="7" applyNumberFormat="1" applyFont="1" applyAlignment="1">
      <alignment vertical="center"/>
    </xf>
    <xf numFmtId="169" fontId="20" fillId="0" borderId="0" xfId="7" applyNumberFormat="1" applyFont="1" applyAlignment="1">
      <alignment horizontal="left"/>
    </xf>
    <xf numFmtId="168" fontId="20" fillId="0" borderId="0" xfId="9" applyNumberFormat="1" applyFont="1" applyFill="1" applyBorder="1" applyAlignment="1" applyProtection="1">
      <alignment horizontal="left"/>
      <protection locked="0"/>
    </xf>
    <xf numFmtId="168" fontId="23" fillId="0" borderId="0" xfId="9" applyNumberFormat="1" applyFont="1" applyAlignment="1" applyProtection="1">
      <alignment horizontal="left"/>
      <protection locked="0"/>
    </xf>
    <xf numFmtId="0" fontId="20" fillId="0" borderId="0" xfId="9" applyNumberFormat="1" applyFont="1" applyFill="1" applyBorder="1" applyAlignment="1" applyProtection="1">
      <protection locked="0"/>
    </xf>
    <xf numFmtId="0" fontId="53" fillId="0" borderId="14" xfId="0" applyFont="1" applyBorder="1" applyAlignment="1">
      <alignment horizontal="center"/>
    </xf>
    <xf numFmtId="0" fontId="30" fillId="0" borderId="0" xfId="7" applyFont="1" applyAlignment="1">
      <alignment horizontal="center"/>
    </xf>
    <xf numFmtId="167" fontId="23" fillId="0" borderId="0" xfId="7" applyNumberFormat="1" applyFont="1" applyAlignment="1">
      <alignment vertical="center"/>
    </xf>
    <xf numFmtId="0" fontId="54" fillId="0" borderId="0" xfId="0" applyFont="1" applyAlignment="1">
      <alignment horizontal="center"/>
    </xf>
    <xf numFmtId="0" fontId="53" fillId="0" borderId="7" xfId="0" applyFont="1" applyBorder="1" applyAlignment="1">
      <alignment horizontal="center"/>
    </xf>
    <xf numFmtId="0" fontId="53" fillId="0" borderId="6" xfId="0" applyFont="1" applyBorder="1" applyAlignment="1">
      <alignment horizontal="center"/>
    </xf>
    <xf numFmtId="0" fontId="53" fillId="0" borderId="8" xfId="0" applyFont="1" applyBorder="1" applyAlignment="1">
      <alignment horizontal="center"/>
    </xf>
    <xf numFmtId="181" fontId="24" fillId="0" borderId="0" xfId="0" applyNumberFormat="1" applyFont="1" applyAlignment="1">
      <alignment horizontal="right"/>
    </xf>
    <xf numFmtId="181" fontId="24" fillId="0" borderId="19" xfId="0" applyNumberFormat="1" applyFont="1" applyBorder="1" applyAlignment="1">
      <alignment horizontal="right"/>
    </xf>
    <xf numFmtId="0" fontId="24" fillId="0" borderId="0" xfId="0" applyFont="1" applyAlignment="1">
      <alignment horizontal="center" vertical="center"/>
    </xf>
    <xf numFmtId="0" fontId="22" fillId="0" borderId="0" xfId="0" applyFont="1" applyAlignment="1">
      <alignment horizontal="right" vertical="center"/>
    </xf>
    <xf numFmtId="37" fontId="22" fillId="0" borderId="0" xfId="7" applyNumberFormat="1" applyFont="1" applyAlignment="1">
      <alignment horizontal="right" vertical="center"/>
    </xf>
    <xf numFmtId="37" fontId="17" fillId="0" borderId="0" xfId="0" applyNumberFormat="1" applyFont="1" applyAlignment="1">
      <alignment vertical="center"/>
    </xf>
    <xf numFmtId="37" fontId="17" fillId="0" borderId="1" xfId="0" applyNumberFormat="1" applyFont="1" applyBorder="1" applyAlignment="1">
      <alignment vertical="center"/>
    </xf>
    <xf numFmtId="181" fontId="48" fillId="0" borderId="0" xfId="0" applyNumberFormat="1" applyFont="1" applyAlignment="1">
      <alignment horizontal="right" vertical="center"/>
    </xf>
    <xf numFmtId="181" fontId="27" fillId="0" borderId="0" xfId="0" applyNumberFormat="1" applyFont="1" applyAlignment="1">
      <alignment horizontal="right" vertical="center"/>
    </xf>
    <xf numFmtId="181" fontId="39" fillId="0" borderId="0" xfId="0" applyNumberFormat="1" applyFont="1" applyAlignment="1">
      <alignment horizontal="right"/>
    </xf>
    <xf numFmtId="171" fontId="48" fillId="0" borderId="19" xfId="0" applyNumberFormat="1" applyFont="1" applyBorder="1" applyAlignment="1">
      <alignment horizontal="right" vertical="center"/>
    </xf>
    <xf numFmtId="171" fontId="27" fillId="0" borderId="19" xfId="0" applyNumberFormat="1" applyFont="1" applyBorder="1" applyAlignment="1">
      <alignment horizontal="right" vertical="center"/>
    </xf>
    <xf numFmtId="171" fontId="39" fillId="0" borderId="19" xfId="0" applyNumberFormat="1" applyFont="1" applyBorder="1" applyAlignment="1">
      <alignment horizontal="right"/>
    </xf>
    <xf numFmtId="171" fontId="23" fillId="0" borderId="0" xfId="9" applyNumberFormat="1" applyFont="1" applyFill="1" applyBorder="1" applyAlignment="1" applyProtection="1">
      <alignment horizontal="left"/>
      <protection locked="0"/>
    </xf>
    <xf numFmtId="195" fontId="20" fillId="0" borderId="0" xfId="7" applyNumberFormat="1" applyFont="1" applyAlignment="1">
      <alignment horizontal="right"/>
    </xf>
    <xf numFmtId="196" fontId="23" fillId="0" borderId="0" xfId="0" applyNumberFormat="1" applyFont="1" applyAlignment="1">
      <alignment horizontal="left"/>
    </xf>
    <xf numFmtId="49" fontId="22" fillId="0" borderId="0" xfId="0" applyNumberFormat="1" applyFont="1" applyAlignment="1">
      <alignment horizontal="left"/>
    </xf>
    <xf numFmtId="171" fontId="22" fillId="0" borderId="0" xfId="1" applyNumberFormat="1" applyFont="1" applyFill="1"/>
    <xf numFmtId="171" fontId="23" fillId="0" borderId="7" xfId="0" applyNumberFormat="1" applyFont="1" applyBorder="1"/>
    <xf numFmtId="171" fontId="23" fillId="0" borderId="8" xfId="0" applyNumberFormat="1" applyFont="1" applyBorder="1"/>
    <xf numFmtId="171" fontId="22" fillId="0" borderId="0" xfId="9" applyNumberFormat="1" applyFont="1" applyFill="1" applyBorder="1" applyAlignment="1" applyProtection="1">
      <alignment horizontal="right"/>
      <protection locked="0"/>
    </xf>
    <xf numFmtId="174" fontId="22" fillId="0" borderId="0" xfId="10" applyNumberFormat="1" applyFont="1" applyFill="1" applyBorder="1" applyAlignment="1" applyProtection="1">
      <alignment horizontal="right"/>
      <protection locked="0"/>
    </xf>
    <xf numFmtId="173" fontId="23" fillId="0" borderId="6" xfId="0" applyNumberFormat="1" applyFont="1" applyBorder="1"/>
    <xf numFmtId="173" fontId="23" fillId="0" borderId="7" xfId="0" applyNumberFormat="1" applyFont="1" applyBorder="1"/>
    <xf numFmtId="173" fontId="23" fillId="0" borderId="8" xfId="0" applyNumberFormat="1" applyFont="1" applyBorder="1"/>
    <xf numFmtId="173" fontId="23" fillId="0" borderId="9" xfId="0" applyNumberFormat="1" applyFont="1" applyBorder="1"/>
    <xf numFmtId="173" fontId="23" fillId="0" borderId="10" xfId="0" applyNumberFormat="1" applyFont="1" applyBorder="1"/>
    <xf numFmtId="173" fontId="23" fillId="0" borderId="11" xfId="0" applyNumberFormat="1" applyFont="1" applyBorder="1"/>
    <xf numFmtId="173" fontId="23" fillId="0" borderId="12" xfId="0" applyNumberFormat="1" applyFont="1" applyBorder="1"/>
    <xf numFmtId="171" fontId="25" fillId="0" borderId="0" xfId="9" applyNumberFormat="1" applyFont="1" applyFill="1" applyBorder="1" applyProtection="1">
      <protection locked="0"/>
    </xf>
    <xf numFmtId="171" fontId="22" fillId="0" borderId="0" xfId="7" applyNumberFormat="1" applyFont="1"/>
    <xf numFmtId="0" fontId="14" fillId="0" borderId="0" xfId="0" applyFont="1"/>
    <xf numFmtId="0" fontId="14" fillId="0" borderId="1" xfId="0" applyFont="1" applyBorder="1"/>
    <xf numFmtId="37" fontId="56" fillId="0" borderId="0" xfId="0" applyNumberFormat="1" applyFont="1" applyAlignment="1">
      <alignment vertical="center"/>
    </xf>
    <xf numFmtId="168" fontId="7" fillId="0" borderId="0" xfId="9" applyNumberFormat="1" applyFont="1" applyBorder="1" applyAlignment="1" applyProtection="1">
      <alignment horizontal="center"/>
      <protection locked="0"/>
    </xf>
    <xf numFmtId="168" fontId="7" fillId="0" borderId="0" xfId="9" applyNumberFormat="1" applyFont="1" applyFill="1" applyBorder="1" applyAlignment="1" applyProtection="1">
      <alignment horizontal="center"/>
      <protection locked="0"/>
    </xf>
    <xf numFmtId="168" fontId="7" fillId="0" borderId="0" xfId="9" applyNumberFormat="1" applyFont="1" applyFill="1" applyBorder="1" applyProtection="1">
      <protection locked="0"/>
    </xf>
    <xf numFmtId="168" fontId="7" fillId="0" borderId="0" xfId="9" applyNumberFormat="1" applyFont="1" applyFill="1" applyAlignment="1" applyProtection="1">
      <alignment horizontal="center"/>
      <protection locked="0"/>
    </xf>
    <xf numFmtId="0" fontId="14" fillId="0" borderId="0" xfId="0" applyFont="1" applyAlignment="1">
      <alignment horizontal="left"/>
    </xf>
    <xf numFmtId="168" fontId="7" fillId="0" borderId="0" xfId="9" applyNumberFormat="1" applyFont="1" applyFill="1" applyProtection="1">
      <protection locked="0"/>
    </xf>
    <xf numFmtId="168" fontId="7" fillId="0" borderId="1" xfId="9" applyNumberFormat="1" applyFont="1" applyFill="1" applyBorder="1" applyProtection="1">
      <protection locked="0"/>
    </xf>
    <xf numFmtId="176" fontId="22" fillId="0" borderId="0" xfId="1" applyNumberFormat="1" applyFont="1" applyFill="1" applyBorder="1" applyAlignment="1"/>
    <xf numFmtId="190" fontId="22" fillId="0" borderId="0" xfId="7" applyNumberFormat="1" applyFont="1"/>
    <xf numFmtId="168" fontId="23" fillId="0" borderId="1" xfId="9" applyNumberFormat="1" applyFont="1" applyBorder="1" applyProtection="1">
      <protection locked="0"/>
    </xf>
    <xf numFmtId="0" fontId="7" fillId="0" borderId="0" xfId="7" applyFont="1"/>
    <xf numFmtId="0" fontId="7" fillId="0" borderId="0" xfId="3" applyFont="1" applyFill="1" applyBorder="1"/>
    <xf numFmtId="0" fontId="7" fillId="0" borderId="0" xfId="0" applyFont="1" applyAlignment="1">
      <alignment vertical="center"/>
    </xf>
    <xf numFmtId="181" fontId="7" fillId="0" borderId="0" xfId="0" applyNumberFormat="1" applyFont="1" applyAlignment="1">
      <alignment horizontal="right" vertical="center"/>
    </xf>
    <xf numFmtId="171" fontId="7" fillId="0" borderId="0" xfId="0" applyNumberFormat="1" applyFont="1" applyAlignment="1">
      <alignment horizontal="right" vertical="center"/>
    </xf>
    <xf numFmtId="171" fontId="7" fillId="0" borderId="19" xfId="0" applyNumberFormat="1" applyFont="1" applyBorder="1" applyAlignment="1">
      <alignment horizontal="right" vertical="center"/>
    </xf>
    <xf numFmtId="176" fontId="23" fillId="0" borderId="8" xfId="1" applyNumberFormat="1" applyFont="1" applyFill="1" applyBorder="1" applyAlignment="1"/>
    <xf numFmtId="192" fontId="23" fillId="0" borderId="0" xfId="9" applyNumberFormat="1" applyFont="1" applyFill="1" applyAlignment="1" applyProtection="1">
      <alignment horizontal="right"/>
      <protection locked="0"/>
    </xf>
    <xf numFmtId="9" fontId="14" fillId="0" borderId="0" xfId="1" applyFont="1"/>
    <xf numFmtId="43" fontId="23" fillId="0" borderId="0" xfId="13" applyFont="1" applyFill="1" applyBorder="1" applyProtection="1">
      <protection locked="0"/>
    </xf>
    <xf numFmtId="166" fontId="7" fillId="0" borderId="0" xfId="7" applyNumberFormat="1" applyFont="1"/>
    <xf numFmtId="166" fontId="23" fillId="0" borderId="0" xfId="9" applyNumberFormat="1" applyFont="1" applyFill="1" applyProtection="1">
      <protection locked="0"/>
    </xf>
    <xf numFmtId="166" fontId="23" fillId="0" borderId="0" xfId="7" applyNumberFormat="1" applyFont="1"/>
    <xf numFmtId="166" fontId="22" fillId="0" borderId="0" xfId="0" applyNumberFormat="1" applyFont="1" applyAlignment="1">
      <alignment horizontal="left"/>
    </xf>
    <xf numFmtId="166" fontId="23" fillId="0" borderId="0" xfId="9" applyNumberFormat="1" applyFont="1" applyFill="1" applyBorder="1" applyProtection="1">
      <protection locked="0"/>
    </xf>
    <xf numFmtId="197" fontId="22" fillId="0" borderId="22" xfId="0" applyNumberFormat="1" applyFont="1" applyBorder="1" applyAlignment="1">
      <alignment horizontal="right"/>
    </xf>
    <xf numFmtId="166" fontId="23" fillId="0" borderId="1" xfId="7" applyNumberFormat="1" applyFont="1" applyBorder="1"/>
    <xf numFmtId="49" fontId="25" fillId="0" borderId="0" xfId="0" applyNumberFormat="1" applyFont="1" applyAlignment="1">
      <alignment horizontal="left"/>
    </xf>
    <xf numFmtId="171" fontId="23" fillId="0" borderId="4" xfId="0" applyNumberFormat="1" applyFont="1" applyBorder="1"/>
    <xf numFmtId="49" fontId="22" fillId="0" borderId="11" xfId="0" applyNumberFormat="1" applyFont="1" applyBorder="1" applyAlignment="1">
      <alignment horizontal="left"/>
    </xf>
    <xf numFmtId="198" fontId="23" fillId="0" borderId="0" xfId="9" applyNumberFormat="1" applyFont="1" applyFill="1" applyBorder="1" applyProtection="1">
      <protection locked="0"/>
    </xf>
    <xf numFmtId="43" fontId="23" fillId="0" borderId="0" xfId="13" applyFont="1" applyFill="1" applyProtection="1">
      <protection locked="0"/>
    </xf>
    <xf numFmtId="0" fontId="19" fillId="0" borderId="0" xfId="0" applyFont="1" applyAlignment="1">
      <alignment horizontal="center" vertical="center"/>
    </xf>
    <xf numFmtId="171" fontId="23" fillId="0" borderId="10" xfId="0" applyNumberFormat="1" applyFont="1" applyBorder="1"/>
    <xf numFmtId="182" fontId="22" fillId="0" borderId="11" xfId="0" applyNumberFormat="1" applyFont="1" applyBorder="1"/>
    <xf numFmtId="0" fontId="23" fillId="0" borderId="0" xfId="9" applyNumberFormat="1" applyFont="1" applyAlignment="1" applyProtection="1">
      <alignment horizontal="left" indent="1"/>
      <protection locked="0"/>
    </xf>
    <xf numFmtId="0" fontId="23" fillId="0" borderId="0" xfId="9" applyNumberFormat="1" applyFont="1" applyFill="1" applyAlignment="1" applyProtection="1">
      <alignment horizontal="left" indent="1"/>
      <protection locked="0"/>
    </xf>
    <xf numFmtId="0" fontId="23" fillId="0" borderId="0" xfId="9" applyNumberFormat="1" applyFont="1" applyFill="1" applyBorder="1" applyAlignment="1" applyProtection="1">
      <alignment horizontal="left" indent="1"/>
      <protection locked="0"/>
    </xf>
    <xf numFmtId="0" fontId="23" fillId="0" borderId="0" xfId="9" applyNumberFormat="1" applyFont="1" applyFill="1" applyProtection="1">
      <protection locked="0"/>
    </xf>
    <xf numFmtId="0" fontId="23" fillId="0" borderId="0" xfId="9" applyNumberFormat="1" applyFont="1" applyFill="1" applyBorder="1" applyProtection="1">
      <protection locked="0"/>
    </xf>
    <xf numFmtId="0" fontId="23" fillId="0" borderId="0" xfId="9" applyNumberFormat="1" applyFont="1" applyBorder="1" applyAlignment="1" applyProtection="1">
      <alignment horizontal="left" indent="1"/>
      <protection locked="0"/>
    </xf>
    <xf numFmtId="0" fontId="20" fillId="0" borderId="0" xfId="9" applyNumberFormat="1" applyFont="1" applyBorder="1" applyAlignment="1" applyProtection="1">
      <alignment horizontal="left" indent="1"/>
      <protection locked="0"/>
    </xf>
    <xf numFmtId="0" fontId="23" fillId="0" borderId="0" xfId="4" applyFont="1" applyAlignment="1">
      <alignment horizontal="left" indent="1"/>
    </xf>
    <xf numFmtId="0" fontId="20" fillId="0" borderId="0" xfId="4" applyFont="1" applyAlignment="1">
      <alignment horizontal="left" indent="1"/>
    </xf>
    <xf numFmtId="0" fontId="23" fillId="0" borderId="0" xfId="0" applyFont="1" applyAlignment="1">
      <alignment horizontal="left" indent="1"/>
    </xf>
    <xf numFmtId="0" fontId="22" fillId="0" borderId="0" xfId="7" applyFont="1" applyAlignment="1">
      <alignment horizontal="left" indent="1"/>
    </xf>
    <xf numFmtId="0" fontId="22" fillId="0" borderId="0" xfId="9" applyNumberFormat="1" applyFont="1" applyBorder="1" applyAlignment="1" applyProtection="1">
      <alignment horizontal="left" indent="1"/>
      <protection locked="0"/>
    </xf>
    <xf numFmtId="0" fontId="22" fillId="0" borderId="0" xfId="9" applyNumberFormat="1" applyFont="1" applyFill="1" applyBorder="1" applyAlignment="1" applyProtection="1">
      <alignment horizontal="left" indent="1"/>
      <protection locked="0"/>
    </xf>
    <xf numFmtId="0" fontId="22" fillId="0" borderId="0" xfId="9" applyNumberFormat="1" applyFont="1" applyAlignment="1" applyProtection="1">
      <alignment horizontal="left" indent="1"/>
      <protection locked="0"/>
    </xf>
    <xf numFmtId="0" fontId="19" fillId="0" borderId="0" xfId="0" applyFont="1" applyAlignment="1">
      <alignment horizontal="left" vertical="center" indent="1"/>
    </xf>
    <xf numFmtId="191" fontId="22" fillId="0" borderId="0" xfId="9" applyNumberFormat="1" applyFont="1" applyFill="1" applyBorder="1" applyAlignment="1" applyProtection="1">
      <alignment horizontal="right"/>
      <protection locked="0"/>
    </xf>
    <xf numFmtId="191" fontId="24" fillId="0" borderId="0" xfId="9" applyNumberFormat="1" applyFont="1" applyFill="1" applyBorder="1" applyAlignment="1" applyProtection="1">
      <alignment horizontal="right"/>
      <protection locked="0"/>
    </xf>
    <xf numFmtId="197" fontId="22" fillId="0" borderId="0" xfId="0" applyNumberFormat="1" applyFont="1" applyAlignment="1">
      <alignment horizontal="right"/>
    </xf>
    <xf numFmtId="0" fontId="26" fillId="0" borderId="0" xfId="7" applyFont="1" applyAlignment="1">
      <alignment horizontal="right"/>
    </xf>
    <xf numFmtId="191" fontId="23" fillId="0" borderId="0" xfId="9" applyNumberFormat="1" applyFont="1" applyFill="1" applyBorder="1" applyAlignment="1" applyProtection="1">
      <alignment horizontal="center"/>
      <protection locked="0"/>
    </xf>
    <xf numFmtId="49" fontId="22" fillId="0" borderId="0" xfId="0" applyNumberFormat="1" applyFont="1" applyAlignment="1">
      <alignment horizontal="left" indent="1"/>
    </xf>
    <xf numFmtId="199" fontId="23" fillId="0" borderId="0" xfId="9" applyNumberFormat="1" applyFont="1" applyFill="1" applyBorder="1" applyAlignment="1" applyProtection="1">
      <alignment horizontal="center"/>
      <protection locked="0"/>
    </xf>
    <xf numFmtId="199" fontId="20" fillId="0" borderId="0" xfId="9" applyNumberFormat="1" applyFont="1" applyFill="1" applyBorder="1" applyProtection="1">
      <protection locked="0"/>
    </xf>
    <xf numFmtId="199" fontId="20" fillId="0" borderId="0" xfId="9" applyNumberFormat="1" applyFont="1" applyFill="1" applyProtection="1">
      <protection locked="0"/>
    </xf>
    <xf numFmtId="197" fontId="22" fillId="0" borderId="23" xfId="0" applyNumberFormat="1" applyFont="1" applyBorder="1" applyAlignment="1">
      <alignment horizontal="right"/>
    </xf>
    <xf numFmtId="197" fontId="22" fillId="0" borderId="24" xfId="0" applyNumberFormat="1" applyFont="1" applyBorder="1" applyAlignment="1">
      <alignment horizontal="right"/>
    </xf>
    <xf numFmtId="194" fontId="22" fillId="0" borderId="12" xfId="0" applyNumberFormat="1" applyFont="1" applyBorder="1" applyAlignment="1">
      <alignment horizontal="right"/>
    </xf>
    <xf numFmtId="0" fontId="19" fillId="0" borderId="0" xfId="7" applyFont="1" applyAlignment="1">
      <alignment horizontal="right" vertical="center"/>
    </xf>
    <xf numFmtId="0" fontId="59" fillId="0" borderId="0" xfId="7" applyFont="1"/>
    <xf numFmtId="0" fontId="59" fillId="0" borderId="0" xfId="0" applyFont="1"/>
    <xf numFmtId="171" fontId="23" fillId="0" borderId="6" xfId="0" applyNumberFormat="1" applyFont="1" applyBorder="1"/>
    <xf numFmtId="0" fontId="20" fillId="0" borderId="0" xfId="9" applyNumberFormat="1" applyFont="1" applyFill="1" applyBorder="1" applyAlignment="1" applyProtection="1">
      <alignment horizontal="right"/>
      <protection locked="0"/>
    </xf>
    <xf numFmtId="180" fontId="23" fillId="0" borderId="0" xfId="9" applyNumberFormat="1" applyFont="1" applyFill="1" applyProtection="1">
      <protection locked="0"/>
    </xf>
    <xf numFmtId="171" fontId="7" fillId="0" borderId="0" xfId="7" applyNumberFormat="1" applyFont="1"/>
    <xf numFmtId="171" fontId="60" fillId="0" borderId="0" xfId="7" applyNumberFormat="1" applyFont="1"/>
    <xf numFmtId="0" fontId="25" fillId="0" borderId="0" xfId="7" applyFont="1"/>
    <xf numFmtId="0" fontId="40" fillId="0" borderId="0" xfId="7" applyFont="1"/>
    <xf numFmtId="171" fontId="25" fillId="0" borderId="0" xfId="7" applyNumberFormat="1" applyFont="1"/>
    <xf numFmtId="167" fontId="62" fillId="0" borderId="0" xfId="3" applyNumberFormat="1" applyFont="1" applyFill="1" applyBorder="1"/>
    <xf numFmtId="0" fontId="55" fillId="0" borderId="0" xfId="3" applyFont="1" applyFill="1" applyBorder="1"/>
    <xf numFmtId="0" fontId="14" fillId="0" borderId="25" xfId="0" applyFont="1" applyBorder="1"/>
    <xf numFmtId="0" fontId="7" fillId="0" borderId="1" xfId="7" applyFont="1" applyBorder="1"/>
    <xf numFmtId="1" fontId="7" fillId="0" borderId="0" xfId="7" applyNumberFormat="1" applyFont="1"/>
    <xf numFmtId="201" fontId="5" fillId="0" borderId="0" xfId="7" applyNumberFormat="1" applyFont="1"/>
    <xf numFmtId="174" fontId="24" fillId="0" borderId="0" xfId="10" applyNumberFormat="1" applyFont="1" applyFill="1" applyBorder="1" applyAlignment="1" applyProtection="1">
      <alignment horizontal="right"/>
      <protection locked="0"/>
    </xf>
    <xf numFmtId="171" fontId="14" fillId="0" borderId="0" xfId="0" applyNumberFormat="1" applyFont="1"/>
    <xf numFmtId="0" fontId="3" fillId="0" borderId="0" xfId="7" applyFont="1"/>
    <xf numFmtId="0" fontId="3" fillId="0" borderId="0" xfId="21"/>
    <xf numFmtId="168" fontId="7" fillId="0" borderId="0" xfId="9" applyNumberFormat="1" applyFont="1" applyBorder="1" applyProtection="1">
      <protection locked="0"/>
    </xf>
    <xf numFmtId="174" fontId="45" fillId="0" borderId="0" xfId="10" applyNumberFormat="1" applyFont="1" applyFill="1" applyBorder="1" applyAlignment="1" applyProtection="1">
      <alignment horizontal="center"/>
      <protection locked="0"/>
    </xf>
    <xf numFmtId="0" fontId="20" fillId="0" borderId="0" xfId="9" applyNumberFormat="1" applyFont="1" applyFill="1" applyBorder="1" applyAlignment="1" applyProtection="1">
      <alignment horizontal="center"/>
      <protection locked="0"/>
    </xf>
    <xf numFmtId="168" fontId="20" fillId="0" borderId="0" xfId="9" applyNumberFormat="1" applyFont="1" applyBorder="1" applyAlignment="1" applyProtection="1">
      <alignment horizontal="center"/>
      <protection locked="0"/>
    </xf>
    <xf numFmtId="0" fontId="20" fillId="0" borderId="0" xfId="0" applyFont="1" applyAlignment="1">
      <alignment horizontal="center"/>
    </xf>
    <xf numFmtId="37" fontId="9" fillId="0" borderId="1" xfId="7" applyNumberFormat="1" applyFont="1" applyBorder="1" applyAlignment="1">
      <alignment vertical="center"/>
    </xf>
    <xf numFmtId="169" fontId="20" fillId="0" borderId="1" xfId="7" applyNumberFormat="1" applyFont="1" applyBorder="1" applyAlignment="1">
      <alignment horizontal="right"/>
    </xf>
    <xf numFmtId="169" fontId="33" fillId="0" borderId="1" xfId="0" applyNumberFormat="1" applyFont="1" applyBorder="1" applyAlignment="1">
      <alignment horizontal="right"/>
    </xf>
    <xf numFmtId="0" fontId="49" fillId="0" borderId="0" xfId="2" applyNumberFormat="1" applyFont="1" applyFill="1" applyBorder="1" applyAlignment="1" applyProtection="1">
      <alignment horizontal="left" indent="1"/>
      <protection locked="0"/>
    </xf>
    <xf numFmtId="193" fontId="22" fillId="0" borderId="0" xfId="1" applyNumberFormat="1" applyFont="1" applyFill="1" applyBorder="1" applyAlignment="1" applyProtection="1">
      <alignment horizontal="center"/>
      <protection locked="0"/>
    </xf>
    <xf numFmtId="183" fontId="47" fillId="0" borderId="0" xfId="0" applyNumberFormat="1" applyFont="1" applyAlignment="1">
      <alignment horizontal="right"/>
    </xf>
    <xf numFmtId="171" fontId="0" fillId="0" borderId="0" xfId="0" applyNumberFormat="1"/>
    <xf numFmtId="0" fontId="45" fillId="0" borderId="0" xfId="7" applyFont="1" applyAlignment="1">
      <alignment horizontal="left"/>
    </xf>
    <xf numFmtId="183" fontId="22" fillId="0" borderId="0" xfId="7" applyNumberFormat="1" applyFont="1" applyAlignment="1">
      <alignment horizontal="right"/>
    </xf>
    <xf numFmtId="0" fontId="37" fillId="0" borderId="0" xfId="0" applyFont="1"/>
    <xf numFmtId="168" fontId="69" fillId="0" borderId="0" xfId="9" applyNumberFormat="1" applyFont="1" applyBorder="1" applyAlignment="1" applyProtection="1">
      <alignment horizontal="right"/>
      <protection locked="0"/>
    </xf>
    <xf numFmtId="169" fontId="20" fillId="0" borderId="0" xfId="7" applyNumberFormat="1" applyFont="1" applyAlignment="1">
      <alignment horizontal="center"/>
    </xf>
    <xf numFmtId="0" fontId="47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31" fillId="0" borderId="0" xfId="7" applyFont="1"/>
    <xf numFmtId="0" fontId="22" fillId="0" borderId="0" xfId="7" applyFont="1" applyAlignment="1">
      <alignment wrapText="1"/>
    </xf>
    <xf numFmtId="0" fontId="10" fillId="0" borderId="0" xfId="7" applyFont="1"/>
    <xf numFmtId="171" fontId="23" fillId="0" borderId="13" xfId="9" applyNumberFormat="1" applyFont="1" applyFill="1" applyBorder="1" applyAlignment="1" applyProtection="1">
      <alignment horizontal="center"/>
      <protection locked="0"/>
    </xf>
    <xf numFmtId="193" fontId="22" fillId="0" borderId="13" xfId="1" applyNumberFormat="1" applyFont="1" applyFill="1" applyBorder="1" applyAlignment="1" applyProtection="1">
      <alignment horizontal="center"/>
      <protection locked="0"/>
    </xf>
    <xf numFmtId="171" fontId="22" fillId="0" borderId="13" xfId="1" applyNumberFormat="1" applyFont="1" applyFill="1" applyBorder="1" applyAlignment="1" applyProtection="1">
      <alignment horizontal="center"/>
      <protection locked="0"/>
    </xf>
    <xf numFmtId="174" fontId="23" fillId="0" borderId="13" xfId="10" applyNumberFormat="1" applyFont="1" applyFill="1" applyBorder="1" applyAlignment="1" applyProtection="1">
      <alignment horizontal="center"/>
      <protection locked="0"/>
    </xf>
    <xf numFmtId="199" fontId="23" fillId="0" borderId="14" xfId="9" applyNumberFormat="1" applyFont="1" applyFill="1" applyBorder="1" applyAlignment="1" applyProtection="1">
      <alignment horizontal="center"/>
      <protection locked="0"/>
    </xf>
    <xf numFmtId="191" fontId="23" fillId="0" borderId="15" xfId="9" applyNumberFormat="1" applyFont="1" applyFill="1" applyBorder="1" applyAlignment="1" applyProtection="1">
      <alignment horizontal="center"/>
      <protection locked="0"/>
    </xf>
    <xf numFmtId="171" fontId="20" fillId="0" borderId="7" xfId="7" applyNumberFormat="1" applyFont="1" applyBorder="1"/>
    <xf numFmtId="43" fontId="23" fillId="0" borderId="0" xfId="13" applyFont="1" applyFill="1"/>
    <xf numFmtId="174" fontId="23" fillId="0" borderId="0" xfId="10" applyNumberFormat="1" applyFont="1" applyFill="1"/>
    <xf numFmtId="171" fontId="23" fillId="0" borderId="0" xfId="4" applyNumberFormat="1" applyFont="1"/>
    <xf numFmtId="171" fontId="25" fillId="0" borderId="7" xfId="7" applyNumberFormat="1" applyFont="1" applyBorder="1" applyAlignment="1">
      <alignment horizontal="right"/>
    </xf>
    <xf numFmtId="192" fontId="23" fillId="0" borderId="0" xfId="7" applyNumberFormat="1" applyFont="1"/>
    <xf numFmtId="171" fontId="22" fillId="0" borderId="0" xfId="7" applyNumberFormat="1" applyFont="1" applyAlignment="1">
      <alignment horizontal="right"/>
    </xf>
    <xf numFmtId="192" fontId="22" fillId="0" borderId="0" xfId="7" applyNumberFormat="1" applyFont="1"/>
    <xf numFmtId="191" fontId="23" fillId="0" borderId="0" xfId="9" applyNumberFormat="1" applyFont="1" applyFill="1" applyProtection="1">
      <protection locked="0"/>
    </xf>
    <xf numFmtId="171" fontId="23" fillId="0" borderId="7" xfId="9" applyNumberFormat="1" applyFont="1" applyFill="1" applyBorder="1" applyProtection="1">
      <protection locked="0"/>
    </xf>
    <xf numFmtId="171" fontId="23" fillId="0" borderId="1" xfId="9" applyNumberFormat="1" applyFont="1" applyFill="1" applyBorder="1" applyAlignment="1" applyProtection="1">
      <alignment horizontal="right"/>
      <protection locked="0"/>
    </xf>
    <xf numFmtId="174" fontId="25" fillId="0" borderId="18" xfId="1" applyNumberFormat="1" applyFont="1" applyFill="1" applyBorder="1" applyAlignment="1">
      <alignment vertical="center"/>
    </xf>
    <xf numFmtId="174" fontId="25" fillId="0" borderId="17" xfId="1" applyNumberFormat="1" applyFont="1" applyFill="1" applyBorder="1" applyAlignment="1">
      <alignment vertical="center"/>
    </xf>
    <xf numFmtId="174" fontId="25" fillId="0" borderId="16" xfId="1" applyNumberFormat="1" applyFont="1" applyFill="1" applyBorder="1" applyAlignment="1">
      <alignment vertical="center"/>
    </xf>
    <xf numFmtId="171" fontId="22" fillId="0" borderId="1" xfId="9" applyNumberFormat="1" applyFont="1" applyFill="1" applyBorder="1" applyAlignment="1" applyProtection="1">
      <protection locked="0"/>
    </xf>
    <xf numFmtId="171" fontId="22" fillId="0" borderId="0" xfId="9" applyNumberFormat="1" applyFont="1" applyFill="1" applyBorder="1" applyProtection="1">
      <protection locked="0"/>
    </xf>
    <xf numFmtId="171" fontId="16" fillId="0" borderId="0" xfId="7" applyNumberFormat="1" applyFont="1" applyAlignment="1">
      <alignment vertical="center"/>
    </xf>
    <xf numFmtId="171" fontId="22" fillId="0" borderId="7" xfId="9" applyNumberFormat="1" applyFont="1" applyFill="1" applyBorder="1" applyAlignment="1" applyProtection="1">
      <protection locked="0"/>
    </xf>
    <xf numFmtId="200" fontId="23" fillId="0" borderId="0" xfId="9" applyNumberFormat="1" applyFont="1" applyFill="1" applyBorder="1" applyProtection="1">
      <protection locked="0"/>
    </xf>
    <xf numFmtId="200" fontId="23" fillId="0" borderId="1" xfId="9" applyNumberFormat="1" applyFont="1" applyFill="1" applyBorder="1" applyProtection="1">
      <protection locked="0"/>
    </xf>
    <xf numFmtId="171" fontId="23" fillId="0" borderId="3" xfId="9" applyNumberFormat="1" applyFont="1" applyFill="1" applyBorder="1" applyProtection="1">
      <protection locked="0"/>
    </xf>
    <xf numFmtId="171" fontId="23" fillId="0" borderId="4" xfId="9" applyNumberFormat="1" applyFont="1" applyFill="1" applyBorder="1" applyProtection="1">
      <protection locked="0"/>
    </xf>
    <xf numFmtId="171" fontId="23" fillId="0" borderId="5" xfId="9" applyNumberFormat="1" applyFont="1" applyFill="1" applyBorder="1" applyProtection="1">
      <protection locked="0"/>
    </xf>
    <xf numFmtId="180" fontId="23" fillId="0" borderId="0" xfId="9" applyNumberFormat="1" applyFont="1" applyFill="1" applyBorder="1" applyProtection="1">
      <protection locked="0"/>
    </xf>
    <xf numFmtId="171" fontId="23" fillId="0" borderId="9" xfId="9" applyNumberFormat="1" applyFont="1" applyFill="1" applyBorder="1" applyProtection="1">
      <protection locked="0"/>
    </xf>
    <xf numFmtId="171" fontId="23" fillId="0" borderId="10" xfId="9" applyNumberFormat="1" applyFont="1" applyFill="1" applyBorder="1" applyProtection="1">
      <protection locked="0"/>
    </xf>
    <xf numFmtId="202" fontId="23" fillId="0" borderId="11" xfId="9" applyNumberFormat="1" applyFont="1" applyFill="1" applyBorder="1" applyAlignment="1" applyProtection="1">
      <alignment horizontal="right"/>
      <protection locked="0"/>
    </xf>
    <xf numFmtId="202" fontId="23" fillId="0" borderId="1" xfId="9" applyNumberFormat="1" applyFont="1" applyFill="1" applyBorder="1" applyAlignment="1" applyProtection="1">
      <alignment horizontal="right"/>
      <protection locked="0"/>
    </xf>
    <xf numFmtId="202" fontId="23" fillId="0" borderId="12" xfId="9" applyNumberFormat="1" applyFont="1" applyFill="1" applyBorder="1" applyAlignment="1" applyProtection="1">
      <alignment horizontal="right"/>
      <protection locked="0"/>
    </xf>
    <xf numFmtId="174" fontId="23" fillId="0" borderId="0" xfId="1" applyNumberFormat="1" applyFont="1" applyFill="1" applyBorder="1" applyAlignment="1" applyProtection="1">
      <alignment horizontal="right"/>
      <protection locked="0"/>
    </xf>
    <xf numFmtId="174" fontId="23" fillId="0" borderId="1" xfId="1" applyNumberFormat="1" applyFont="1" applyFill="1" applyBorder="1" applyAlignment="1" applyProtection="1">
      <alignment horizontal="right"/>
      <protection locked="0"/>
    </xf>
    <xf numFmtId="171" fontId="52" fillId="0" borderId="0" xfId="7" applyNumberFormat="1" applyFont="1" applyAlignment="1">
      <alignment vertical="center"/>
    </xf>
    <xf numFmtId="171" fontId="23" fillId="0" borderId="0" xfId="7" applyNumberFormat="1" applyFont="1" applyAlignment="1">
      <alignment horizontal="right" vertical="center"/>
    </xf>
    <xf numFmtId="197" fontId="22" fillId="0" borderId="3" xfId="9" applyNumberFormat="1" applyFont="1" applyFill="1" applyBorder="1" applyAlignment="1" applyProtection="1">
      <alignment horizontal="right"/>
      <protection locked="0"/>
    </xf>
    <xf numFmtId="197" fontId="22" fillId="0" borderId="4" xfId="9" applyNumberFormat="1" applyFont="1" applyFill="1" applyBorder="1" applyAlignment="1" applyProtection="1">
      <alignment horizontal="right"/>
      <protection locked="0"/>
    </xf>
    <xf numFmtId="197" fontId="22" fillId="0" borderId="5" xfId="9" applyNumberFormat="1" applyFont="1" applyFill="1" applyBorder="1" applyAlignment="1" applyProtection="1">
      <alignment horizontal="right"/>
      <protection locked="0"/>
    </xf>
    <xf numFmtId="191" fontId="22" fillId="0" borderId="7" xfId="9" applyNumberFormat="1" applyFont="1" applyFill="1" applyBorder="1" applyAlignment="1" applyProtection="1">
      <alignment horizontal="right"/>
      <protection locked="0"/>
    </xf>
    <xf numFmtId="191" fontId="22" fillId="0" borderId="1" xfId="9" applyNumberFormat="1" applyFont="1" applyFill="1" applyBorder="1" applyAlignment="1" applyProtection="1">
      <alignment horizontal="right"/>
      <protection locked="0"/>
    </xf>
    <xf numFmtId="192" fontId="23" fillId="0" borderId="0" xfId="9" applyNumberFormat="1" applyFont="1" applyFill="1" applyBorder="1" applyAlignment="1" applyProtection="1">
      <alignment horizontal="right"/>
      <protection locked="0"/>
    </xf>
    <xf numFmtId="171" fontId="22" fillId="0" borderId="7" xfId="9" applyNumberFormat="1" applyFont="1" applyFill="1" applyBorder="1" applyAlignment="1" applyProtection="1">
      <alignment horizontal="right"/>
      <protection locked="0"/>
    </xf>
    <xf numFmtId="192" fontId="23" fillId="0" borderId="0" xfId="9" applyNumberFormat="1" applyFont="1" applyFill="1" applyAlignment="1" applyProtection="1">
      <alignment horizontal="center"/>
      <protection locked="0"/>
    </xf>
    <xf numFmtId="174" fontId="22" fillId="0" borderId="0" xfId="10" applyNumberFormat="1" applyFont="1" applyFill="1" applyBorder="1" applyAlignment="1" applyProtection="1">
      <alignment horizontal="center"/>
      <protection locked="0"/>
    </xf>
    <xf numFmtId="0" fontId="57" fillId="0" borderId="0" xfId="0" applyFont="1"/>
    <xf numFmtId="191" fontId="23" fillId="0" borderId="21" xfId="9" applyNumberFormat="1" applyFont="1" applyFill="1" applyBorder="1" applyAlignment="1" applyProtection="1">
      <alignment horizontal="center"/>
      <protection locked="0"/>
    </xf>
    <xf numFmtId="0" fontId="70" fillId="4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0" fontId="0" fillId="2" borderId="0" xfId="0" applyFill="1"/>
    <xf numFmtId="204" fontId="0" fillId="2" borderId="0" xfId="0" applyNumberFormat="1" applyFill="1"/>
    <xf numFmtId="0" fontId="72" fillId="2" borderId="0" xfId="0" applyFont="1" applyFill="1"/>
    <xf numFmtId="171" fontId="71" fillId="0" borderId="0" xfId="0" applyNumberFormat="1" applyFont="1"/>
    <xf numFmtId="0" fontId="73" fillId="0" borderId="0" xfId="0" applyFont="1"/>
    <xf numFmtId="0" fontId="22" fillId="0" borderId="0" xfId="21" applyFont="1"/>
    <xf numFmtId="171" fontId="73" fillId="0" borderId="0" xfId="0" applyNumberFormat="1" applyFont="1" applyAlignment="1">
      <alignment horizontal="center"/>
    </xf>
    <xf numFmtId="0" fontId="72" fillId="0" borderId="26" xfId="0" applyFont="1" applyBorder="1" applyAlignment="1">
      <alignment horizontal="center"/>
    </xf>
    <xf numFmtId="0" fontId="2" fillId="0" borderId="0" xfId="21" applyFont="1"/>
    <xf numFmtId="205" fontId="40" fillId="0" borderId="0" xfId="7" applyNumberFormat="1" applyFont="1"/>
    <xf numFmtId="0" fontId="76" fillId="0" borderId="0" xfId="0" applyFont="1"/>
    <xf numFmtId="0" fontId="77" fillId="0" borderId="0" xfId="0" applyFont="1"/>
    <xf numFmtId="0" fontId="78" fillId="0" borderId="0" xfId="0" applyFont="1"/>
    <xf numFmtId="0" fontId="79" fillId="0" borderId="0" xfId="0" applyFont="1"/>
    <xf numFmtId="0" fontId="80" fillId="0" borderId="0" xfId="0" applyFont="1"/>
    <xf numFmtId="3" fontId="77" fillId="0" borderId="0" xfId="0" applyNumberFormat="1" applyFont="1"/>
    <xf numFmtId="0" fontId="81" fillId="0" borderId="0" xfId="0" applyFont="1" applyAlignment="1">
      <alignment horizontal="right"/>
    </xf>
    <xf numFmtId="174" fontId="24" fillId="0" borderId="6" xfId="0" applyNumberFormat="1" applyFont="1" applyBorder="1" applyAlignment="1">
      <alignment horizontal="right" vertical="center"/>
    </xf>
    <xf numFmtId="174" fontId="24" fillId="0" borderId="7" xfId="0" applyNumberFormat="1" applyFont="1" applyBorder="1" applyAlignment="1">
      <alignment horizontal="right" vertical="center"/>
    </xf>
    <xf numFmtId="174" fontId="24" fillId="0" borderId="8" xfId="0" applyNumberFormat="1" applyFont="1" applyBorder="1" applyAlignment="1">
      <alignment horizontal="right" vertical="center"/>
    </xf>
    <xf numFmtId="174" fontId="24" fillId="0" borderId="9" xfId="0" applyNumberFormat="1" applyFont="1" applyBorder="1" applyAlignment="1">
      <alignment horizontal="right" vertical="center"/>
    </xf>
    <xf numFmtId="174" fontId="24" fillId="0" borderId="0" xfId="0" applyNumberFormat="1" applyFont="1" applyAlignment="1">
      <alignment horizontal="right" vertical="center"/>
    </xf>
    <xf numFmtId="174" fontId="24" fillId="0" borderId="10" xfId="0" applyNumberFormat="1" applyFont="1" applyBorder="1" applyAlignment="1">
      <alignment horizontal="right" vertical="center"/>
    </xf>
    <xf numFmtId="174" fontId="24" fillId="0" borderId="11" xfId="0" applyNumberFormat="1" applyFont="1" applyBorder="1" applyAlignment="1">
      <alignment horizontal="right" vertical="center"/>
    </xf>
    <xf numFmtId="174" fontId="24" fillId="0" borderId="1" xfId="0" applyNumberFormat="1" applyFont="1" applyBorder="1" applyAlignment="1">
      <alignment horizontal="right" vertical="center"/>
    </xf>
    <xf numFmtId="174" fontId="24" fillId="0" borderId="12" xfId="0" applyNumberFormat="1" applyFont="1" applyBorder="1" applyAlignment="1">
      <alignment horizontal="right" vertical="center"/>
    </xf>
    <xf numFmtId="0" fontId="82" fillId="0" borderId="0" xfId="0" applyFont="1" applyAlignment="1">
      <alignment horizontal="left"/>
    </xf>
    <xf numFmtId="0" fontId="84" fillId="0" borderId="0" xfId="0" applyFont="1"/>
    <xf numFmtId="3" fontId="78" fillId="0" borderId="0" xfId="0" applyNumberFormat="1" applyFont="1"/>
    <xf numFmtId="176" fontId="23" fillId="0" borderId="0" xfId="7" applyNumberFormat="1" applyFont="1"/>
    <xf numFmtId="176" fontId="23" fillId="0" borderId="0" xfId="1" applyNumberFormat="1" applyFont="1"/>
    <xf numFmtId="9" fontId="22" fillId="0" borderId="11" xfId="1" applyFont="1" applyBorder="1"/>
    <xf numFmtId="9" fontId="22" fillId="0" borderId="1" xfId="1" applyFont="1" applyBorder="1"/>
    <xf numFmtId="9" fontId="22" fillId="0" borderId="12" xfId="1" applyFont="1" applyBorder="1"/>
    <xf numFmtId="209" fontId="23" fillId="0" borderId="0" xfId="7" applyNumberFormat="1" applyFont="1"/>
    <xf numFmtId="10" fontId="23" fillId="0" borderId="0" xfId="1" applyNumberFormat="1" applyFont="1" applyFill="1" applyBorder="1" applyProtection="1">
      <protection locked="0"/>
    </xf>
    <xf numFmtId="0" fontId="84" fillId="0" borderId="0" xfId="0" applyFont="1" applyAlignment="1">
      <alignment horizontal="left"/>
    </xf>
    <xf numFmtId="0" fontId="87" fillId="0" borderId="0" xfId="0" applyFont="1"/>
    <xf numFmtId="171" fontId="84" fillId="0" borderId="0" xfId="9" applyNumberFormat="1" applyFont="1" applyFill="1" applyBorder="1" applyProtection="1">
      <protection locked="0"/>
    </xf>
    <xf numFmtId="171" fontId="85" fillId="0" borderId="0" xfId="9" applyNumberFormat="1" applyFont="1" applyFill="1" applyBorder="1" applyProtection="1">
      <protection locked="0"/>
    </xf>
    <xf numFmtId="171" fontId="83" fillId="0" borderId="0" xfId="9" applyNumberFormat="1" applyFont="1" applyFill="1" applyBorder="1" applyProtection="1">
      <protection locked="0"/>
    </xf>
    <xf numFmtId="171" fontId="88" fillId="0" borderId="0" xfId="9" applyNumberFormat="1" applyFont="1" applyFill="1" applyBorder="1" applyProtection="1">
      <protection locked="0"/>
    </xf>
    <xf numFmtId="0" fontId="89" fillId="0" borderId="0" xfId="0" applyFont="1"/>
    <xf numFmtId="9" fontId="0" fillId="0" borderId="0" xfId="1" applyFont="1"/>
    <xf numFmtId="3" fontId="90" fillId="0" borderId="0" xfId="0" applyNumberFormat="1" applyFont="1"/>
    <xf numFmtId="3" fontId="89" fillId="0" borderId="0" xfId="0" applyNumberFormat="1" applyFont="1"/>
    <xf numFmtId="169" fontId="20" fillId="0" borderId="0" xfId="0" applyNumberFormat="1" applyFont="1" applyAlignment="1">
      <alignment horizontal="center"/>
    </xf>
    <xf numFmtId="3" fontId="78" fillId="5" borderId="0" xfId="0" applyNumberFormat="1" applyFont="1" applyFill="1"/>
    <xf numFmtId="0" fontId="91" fillId="0" borderId="0" xfId="0" applyFont="1" applyAlignment="1">
      <alignment horizontal="left"/>
    </xf>
    <xf numFmtId="3" fontId="77" fillId="0" borderId="0" xfId="0" applyNumberFormat="1" applyFont="1" applyAlignment="1">
      <alignment horizontal="right"/>
    </xf>
    <xf numFmtId="171" fontId="23" fillId="0" borderId="3" xfId="0" applyNumberFormat="1" applyFont="1" applyBorder="1"/>
    <xf numFmtId="9" fontId="22" fillId="0" borderId="10" xfId="1" applyFont="1" applyBorder="1"/>
    <xf numFmtId="9" fontId="77" fillId="0" borderId="0" xfId="0" applyNumberFormat="1" applyFont="1" applyAlignment="1">
      <alignment horizontal="right"/>
    </xf>
    <xf numFmtId="9" fontId="77" fillId="0" borderId="0" xfId="1" applyFont="1"/>
    <xf numFmtId="9" fontId="77" fillId="0" borderId="0" xfId="1" applyFont="1" applyAlignment="1">
      <alignment horizontal="right"/>
    </xf>
    <xf numFmtId="1" fontId="77" fillId="0" borderId="0" xfId="0" applyNumberFormat="1" applyFont="1" applyAlignment="1">
      <alignment horizontal="right"/>
    </xf>
    <xf numFmtId="9" fontId="23" fillId="0" borderId="0" xfId="1" applyFont="1"/>
    <xf numFmtId="180" fontId="25" fillId="0" borderId="18" xfId="1" applyNumberFormat="1" applyFont="1" applyFill="1" applyBorder="1" applyAlignment="1">
      <alignment vertical="center"/>
    </xf>
    <xf numFmtId="180" fontId="25" fillId="0" borderId="17" xfId="1" applyNumberFormat="1" applyFont="1" applyFill="1" applyBorder="1" applyAlignment="1">
      <alignment vertical="center"/>
    </xf>
    <xf numFmtId="180" fontId="25" fillId="0" borderId="16" xfId="1" applyNumberFormat="1" applyFont="1" applyFill="1" applyBorder="1" applyAlignment="1">
      <alignment vertical="center"/>
    </xf>
    <xf numFmtId="180" fontId="7" fillId="0" borderId="0" xfId="0" applyNumberFormat="1" applyFont="1" applyAlignment="1">
      <alignment vertical="center"/>
    </xf>
    <xf numFmtId="180" fontId="46" fillId="0" borderId="0" xfId="0" applyNumberFormat="1" applyFont="1" applyAlignment="1">
      <alignment horizontal="right" vertical="center"/>
    </xf>
    <xf numFmtId="180" fontId="27" fillId="0" borderId="0" xfId="0" applyNumberFormat="1" applyFont="1" applyAlignment="1">
      <alignment horizontal="right" vertical="center"/>
    </xf>
    <xf numFmtId="180" fontId="39" fillId="0" borderId="0" xfId="0" applyNumberFormat="1" applyFont="1"/>
    <xf numFmtId="180" fontId="23" fillId="0" borderId="0" xfId="0" applyNumberFormat="1" applyFont="1" applyAlignment="1">
      <alignment horizontal="right" vertical="center"/>
    </xf>
    <xf numFmtId="180" fontId="48" fillId="0" borderId="0" xfId="0" applyNumberFormat="1" applyFont="1" applyAlignment="1">
      <alignment horizontal="right" vertical="center"/>
    </xf>
    <xf numFmtId="180" fontId="51" fillId="0" borderId="0" xfId="0" applyNumberFormat="1" applyFont="1" applyAlignment="1">
      <alignment horizontal="right" vertical="center"/>
    </xf>
    <xf numFmtId="180" fontId="7" fillId="0" borderId="0" xfId="0" applyNumberFormat="1" applyFont="1" applyAlignment="1">
      <alignment horizontal="right" vertical="center"/>
    </xf>
    <xf numFmtId="180" fontId="39" fillId="0" borderId="0" xfId="0" applyNumberFormat="1" applyFont="1" applyAlignment="1">
      <alignment horizontal="right"/>
    </xf>
    <xf numFmtId="180" fontId="23" fillId="0" borderId="0" xfId="7" applyNumberFormat="1" applyFont="1"/>
    <xf numFmtId="0" fontId="92" fillId="0" borderId="0" xfId="0" applyFont="1"/>
    <xf numFmtId="2" fontId="23" fillId="0" borderId="0" xfId="7" applyNumberFormat="1" applyFont="1"/>
    <xf numFmtId="1" fontId="23" fillId="0" borderId="0" xfId="7" applyNumberFormat="1" applyFont="1"/>
    <xf numFmtId="171" fontId="23" fillId="0" borderId="0" xfId="13" applyNumberFormat="1" applyFont="1" applyFill="1" applyBorder="1"/>
    <xf numFmtId="171" fontId="84" fillId="0" borderId="0" xfId="7" applyNumberFormat="1" applyFont="1"/>
    <xf numFmtId="0" fontId="84" fillId="0" borderId="0" xfId="7" applyFont="1"/>
    <xf numFmtId="192" fontId="82" fillId="0" borderId="0" xfId="10" applyNumberFormat="1" applyFont="1" applyFill="1" applyBorder="1" applyAlignment="1" applyProtection="1">
      <alignment horizontal="right"/>
      <protection locked="0"/>
    </xf>
    <xf numFmtId="169" fontId="83" fillId="0" borderId="0" xfId="0" applyNumberFormat="1" applyFont="1" applyAlignment="1">
      <alignment horizontal="center"/>
    </xf>
    <xf numFmtId="171" fontId="93" fillId="0" borderId="0" xfId="9" applyNumberFormat="1" applyFont="1" applyFill="1" applyBorder="1" applyProtection="1">
      <protection locked="0"/>
    </xf>
    <xf numFmtId="168" fontId="94" fillId="0" borderId="0" xfId="0" applyNumberFormat="1" applyFont="1" applyProtection="1">
      <protection locked="0"/>
    </xf>
    <xf numFmtId="0" fontId="95" fillId="0" borderId="0" xfId="0" applyFont="1" applyAlignment="1">
      <alignment horizontal="left"/>
    </xf>
    <xf numFmtId="10" fontId="23" fillId="0" borderId="3" xfId="1" applyNumberFormat="1" applyFont="1" applyBorder="1" applyAlignment="1">
      <alignment vertical="center"/>
    </xf>
    <xf numFmtId="10" fontId="23" fillId="0" borderId="4" xfId="1" applyNumberFormat="1" applyFont="1" applyBorder="1" applyAlignment="1">
      <alignment vertical="center"/>
    </xf>
    <xf numFmtId="10" fontId="23" fillId="0" borderId="5" xfId="1" applyNumberFormat="1" applyFont="1" applyBorder="1" applyAlignment="1">
      <alignment vertical="center"/>
    </xf>
    <xf numFmtId="9" fontId="23" fillId="0" borderId="6" xfId="10" applyFont="1" applyFill="1" applyBorder="1" applyProtection="1">
      <protection locked="0"/>
    </xf>
    <xf numFmtId="9" fontId="23" fillId="0" borderId="7" xfId="10" applyFont="1" applyFill="1" applyBorder="1" applyProtection="1">
      <protection locked="0"/>
    </xf>
    <xf numFmtId="9" fontId="23" fillId="0" borderId="8" xfId="10" applyFont="1" applyFill="1" applyBorder="1" applyProtection="1">
      <protection locked="0"/>
    </xf>
    <xf numFmtId="171" fontId="96" fillId="0" borderId="0" xfId="9" applyNumberFormat="1" applyFont="1" applyFill="1" applyBorder="1" applyProtection="1">
      <protection locked="0"/>
    </xf>
    <xf numFmtId="171" fontId="83" fillId="0" borderId="0" xfId="9" applyNumberFormat="1" applyFont="1" applyFill="1" applyBorder="1" applyAlignment="1" applyProtection="1">
      <alignment horizontal="right"/>
      <protection locked="0"/>
    </xf>
    <xf numFmtId="9" fontId="23" fillId="0" borderId="0" xfId="1" applyFont="1" applyFill="1" applyProtection="1">
      <protection locked="0"/>
    </xf>
    <xf numFmtId="14" fontId="23" fillId="0" borderId="21" xfId="7" applyNumberFormat="1" applyFont="1" applyBorder="1" applyAlignment="1">
      <alignment horizontal="center"/>
    </xf>
    <xf numFmtId="14" fontId="14" fillId="0" borderId="0" xfId="0" applyNumberFormat="1" applyFont="1"/>
    <xf numFmtId="14" fontId="23" fillId="0" borderId="21" xfId="7" applyNumberFormat="1" applyFont="1" applyBorder="1" applyAlignment="1">
      <alignment horizontal="center" vertical="center"/>
    </xf>
    <xf numFmtId="14" fontId="20" fillId="0" borderId="0" xfId="7" applyNumberFormat="1" applyFont="1" applyAlignment="1">
      <alignment horizontal="right"/>
    </xf>
    <xf numFmtId="14" fontId="23" fillId="0" borderId="11" xfId="7" applyNumberFormat="1" applyFont="1" applyBorder="1" applyAlignment="1">
      <alignment horizontal="center"/>
    </xf>
    <xf numFmtId="14" fontId="23" fillId="0" borderId="1" xfId="7" applyNumberFormat="1" applyFont="1" applyBorder="1" applyAlignment="1">
      <alignment horizontal="center" vertical="center"/>
    </xf>
    <xf numFmtId="171" fontId="87" fillId="0" borderId="0" xfId="0" applyNumberFormat="1" applyFont="1"/>
    <xf numFmtId="9" fontId="20" fillId="0" borderId="0" xfId="1" applyFont="1" applyAlignment="1">
      <alignment horizontal="right"/>
    </xf>
    <xf numFmtId="0" fontId="84" fillId="0" borderId="0" xfId="7" applyFont="1" applyAlignment="1">
      <alignment horizontal="left" indent="1"/>
    </xf>
    <xf numFmtId="0" fontId="84" fillId="0" borderId="0" xfId="9" applyNumberFormat="1" applyFont="1" applyBorder="1" applyAlignment="1" applyProtection="1">
      <alignment horizontal="left" indent="1"/>
      <protection locked="0"/>
    </xf>
    <xf numFmtId="211" fontId="23" fillId="0" borderId="0" xfId="0" applyNumberFormat="1" applyFont="1" applyAlignment="1">
      <alignment horizontal="left"/>
    </xf>
    <xf numFmtId="192" fontId="97" fillId="0" borderId="0" xfId="10" applyNumberFormat="1" applyFont="1" applyFill="1" applyBorder="1" applyAlignment="1" applyProtection="1">
      <alignment horizontal="right"/>
      <protection locked="0"/>
    </xf>
    <xf numFmtId="171" fontId="23" fillId="0" borderId="6" xfId="0" applyNumberFormat="1" applyFont="1" applyBorder="1" applyAlignment="1">
      <alignment horizontal="right"/>
    </xf>
    <xf numFmtId="171" fontId="23" fillId="0" borderId="7" xfId="0" applyNumberFormat="1" applyFont="1" applyBorder="1" applyAlignment="1">
      <alignment horizontal="right"/>
    </xf>
    <xf numFmtId="171" fontId="23" fillId="0" borderId="8" xfId="0" applyNumberFormat="1" applyFont="1" applyBorder="1" applyAlignment="1">
      <alignment horizontal="right"/>
    </xf>
    <xf numFmtId="14" fontId="23" fillId="0" borderId="12" xfId="7" applyNumberFormat="1" applyFont="1" applyBorder="1" applyAlignment="1">
      <alignment horizontal="center" vertical="center"/>
    </xf>
    <xf numFmtId="176" fontId="23" fillId="0" borderId="3" xfId="1" applyNumberFormat="1" applyFont="1" applyBorder="1" applyAlignment="1">
      <alignment vertical="center"/>
    </xf>
    <xf numFmtId="176" fontId="23" fillId="0" borderId="4" xfId="1" applyNumberFormat="1" applyFont="1" applyBorder="1" applyAlignment="1">
      <alignment vertical="center"/>
    </xf>
    <xf numFmtId="176" fontId="23" fillId="0" borderId="5" xfId="1" applyNumberFormat="1" applyFont="1" applyBorder="1" applyAlignment="1">
      <alignment vertical="center"/>
    </xf>
    <xf numFmtId="168" fontId="84" fillId="0" borderId="0" xfId="9" applyNumberFormat="1" applyFont="1" applyFill="1" applyBorder="1" applyAlignment="1" applyProtection="1">
      <alignment horizontal="center"/>
      <protection locked="0"/>
    </xf>
    <xf numFmtId="171" fontId="84" fillId="0" borderId="0" xfId="9" applyNumberFormat="1" applyFont="1" applyFill="1" applyBorder="1" applyAlignment="1" applyProtection="1">
      <alignment horizontal="center"/>
      <protection locked="0"/>
    </xf>
    <xf numFmtId="0" fontId="14" fillId="0" borderId="0" xfId="4" applyFont="1"/>
    <xf numFmtId="0" fontId="14" fillId="0" borderId="0" xfId="4" applyFont="1" applyProtection="1">
      <protection locked="0"/>
    </xf>
    <xf numFmtId="0" fontId="21" fillId="0" borderId="0" xfId="4" applyFont="1" applyAlignment="1">
      <alignment horizontal="left"/>
    </xf>
    <xf numFmtId="0" fontId="36" fillId="0" borderId="0" xfId="4" applyFont="1" applyProtection="1">
      <protection locked="0"/>
    </xf>
    <xf numFmtId="0" fontId="7" fillId="0" borderId="0" xfId="4" applyFont="1"/>
    <xf numFmtId="0" fontId="55" fillId="0" borderId="0" xfId="4" applyFont="1"/>
    <xf numFmtId="0" fontId="65" fillId="0" borderId="0" xfId="4" applyFont="1"/>
    <xf numFmtId="1" fontId="14" fillId="0" borderId="0" xfId="4" applyNumberFormat="1" applyFont="1"/>
    <xf numFmtId="0" fontId="57" fillId="0" borderId="0" xfId="0" applyFont="1" applyAlignment="1">
      <alignment horizontal="left"/>
    </xf>
    <xf numFmtId="197" fontId="57" fillId="0" borderId="0" xfId="0" applyNumberFormat="1" applyFont="1" applyAlignment="1">
      <alignment horizontal="center"/>
    </xf>
    <xf numFmtId="0" fontId="55" fillId="0" borderId="0" xfId="0" applyFont="1" applyAlignment="1">
      <alignment horizontal="left"/>
    </xf>
    <xf numFmtId="0" fontId="20" fillId="3" borderId="0" xfId="4" applyFont="1" applyFill="1" applyAlignment="1">
      <alignment horizontal="center"/>
    </xf>
    <xf numFmtId="0" fontId="61" fillId="0" borderId="0" xfId="4" applyFont="1" applyAlignment="1">
      <alignment horizontal="center"/>
    </xf>
    <xf numFmtId="0" fontId="14" fillId="3" borderId="0" xfId="4" applyFont="1" applyFill="1" applyAlignment="1">
      <alignment horizontal="center"/>
    </xf>
    <xf numFmtId="0" fontId="14" fillId="0" borderId="0" xfId="4" applyFont="1" applyAlignment="1">
      <alignment horizontal="center"/>
    </xf>
    <xf numFmtId="0" fontId="64" fillId="0" borderId="0" xfId="4" applyFont="1"/>
    <xf numFmtId="0" fontId="63" fillId="0" borderId="0" xfId="4" applyFont="1"/>
    <xf numFmtId="167" fontId="98" fillId="0" borderId="0" xfId="2" applyNumberFormat="1" applyFont="1" applyFill="1" applyBorder="1" applyProtection="1">
      <protection locked="0"/>
    </xf>
    <xf numFmtId="168" fontId="20" fillId="0" borderId="0" xfId="9" applyNumberFormat="1" applyFont="1" applyBorder="1" applyAlignment="1" applyProtection="1">
      <alignment horizontal="centerContinuous" vertical="center"/>
      <protection locked="0"/>
    </xf>
    <xf numFmtId="0" fontId="23" fillId="0" borderId="0" xfId="7" applyFont="1" applyAlignment="1">
      <alignment horizontal="centerContinuous" vertical="center"/>
    </xf>
    <xf numFmtId="0" fontId="99" fillId="0" borderId="0" xfId="4" applyFont="1" applyAlignment="1">
      <alignment horizontal="left" indent="1"/>
    </xf>
    <xf numFmtId="0" fontId="100" fillId="0" borderId="0" xfId="4" applyFont="1" applyAlignment="1">
      <alignment horizontal="left" indent="1"/>
    </xf>
    <xf numFmtId="0" fontId="101" fillId="0" borderId="0" xfId="4" applyFont="1"/>
    <xf numFmtId="0" fontId="105" fillId="0" borderId="0" xfId="7" applyFont="1" applyAlignment="1">
      <alignment horizontal="right"/>
    </xf>
    <xf numFmtId="37" fontId="66" fillId="7" borderId="0" xfId="7" applyNumberFormat="1" applyFont="1" applyFill="1" applyAlignment="1">
      <alignment vertical="center"/>
    </xf>
    <xf numFmtId="37" fontId="20" fillId="8" borderId="0" xfId="7" applyNumberFormat="1" applyFont="1" applyFill="1" applyAlignment="1">
      <alignment vertical="center"/>
    </xf>
    <xf numFmtId="37" fontId="23" fillId="8" borderId="0" xfId="7" applyNumberFormat="1" applyFont="1" applyFill="1" applyAlignment="1">
      <alignment vertical="center"/>
    </xf>
    <xf numFmtId="169" fontId="20" fillId="8" borderId="0" xfId="7" applyNumberFormat="1" applyFont="1" applyFill="1" applyAlignment="1">
      <alignment horizontal="right"/>
    </xf>
    <xf numFmtId="0" fontId="107" fillId="7" borderId="0" xfId="7" applyFont="1" applyFill="1" applyAlignment="1">
      <alignment vertical="center"/>
    </xf>
    <xf numFmtId="37" fontId="107" fillId="8" borderId="0" xfId="7" applyNumberFormat="1" applyFont="1" applyFill="1" applyAlignment="1">
      <alignment vertical="center"/>
    </xf>
    <xf numFmtId="37" fontId="74" fillId="8" borderId="0" xfId="7" applyNumberFormat="1" applyFont="1" applyFill="1" applyAlignment="1">
      <alignment vertical="center"/>
    </xf>
    <xf numFmtId="169" fontId="107" fillId="8" borderId="0" xfId="7" applyNumberFormat="1" applyFont="1" applyFill="1" applyAlignment="1">
      <alignment horizontal="right"/>
    </xf>
    <xf numFmtId="37" fontId="108" fillId="8" borderId="0" xfId="7" applyNumberFormat="1" applyFont="1" applyFill="1" applyAlignment="1">
      <alignment vertical="center"/>
    </xf>
    <xf numFmtId="37" fontId="107" fillId="7" borderId="0" xfId="7" applyNumberFormat="1" applyFont="1" applyFill="1" applyAlignment="1">
      <alignment vertical="center"/>
    </xf>
    <xf numFmtId="0" fontId="104" fillId="6" borderId="0" xfId="7" applyFont="1" applyFill="1"/>
    <xf numFmtId="0" fontId="103" fillId="6" borderId="0" xfId="4" applyFont="1" applyFill="1" applyProtection="1">
      <protection locked="0"/>
    </xf>
    <xf numFmtId="0" fontId="12" fillId="6" borderId="0" xfId="2" applyFont="1" applyFill="1" applyBorder="1" applyAlignment="1">
      <alignment horizontal="centerContinuous" vertical="center"/>
    </xf>
    <xf numFmtId="0" fontId="104" fillId="6" borderId="0" xfId="7" applyFont="1" applyFill="1" applyAlignment="1">
      <alignment horizontal="centerContinuous"/>
    </xf>
    <xf numFmtId="0" fontId="20" fillId="0" borderId="27" xfId="7" applyFont="1" applyBorder="1" applyAlignment="1">
      <alignment horizontal="left"/>
    </xf>
    <xf numFmtId="169" fontId="20" fillId="0" borderId="27" xfId="7" applyNumberFormat="1" applyFont="1" applyBorder="1" applyAlignment="1">
      <alignment horizontal="left"/>
    </xf>
    <xf numFmtId="171" fontId="20" fillId="0" borderId="27" xfId="7" applyNumberFormat="1" applyFont="1" applyBorder="1" applyAlignment="1">
      <alignment horizontal="left"/>
    </xf>
    <xf numFmtId="0" fontId="23" fillId="0" borderId="27" xfId="7" applyFont="1" applyBorder="1"/>
    <xf numFmtId="169" fontId="20" fillId="0" borderId="27" xfId="7" applyNumberFormat="1" applyFont="1" applyBorder="1" applyAlignment="1">
      <alignment horizontal="right"/>
    </xf>
    <xf numFmtId="0" fontId="20" fillId="0" borderId="27" xfId="7" applyFont="1" applyBorder="1" applyAlignment="1">
      <alignment horizontal="right"/>
    </xf>
    <xf numFmtId="0" fontId="20" fillId="0" borderId="28" xfId="7" applyFont="1" applyBorder="1" applyAlignment="1">
      <alignment horizontal="left"/>
    </xf>
    <xf numFmtId="169" fontId="20" fillId="0" borderId="28" xfId="7" applyNumberFormat="1" applyFont="1" applyBorder="1" applyAlignment="1">
      <alignment horizontal="left"/>
    </xf>
    <xf numFmtId="0" fontId="20" fillId="0" borderId="28" xfId="7" applyFont="1" applyBorder="1" applyAlignment="1">
      <alignment horizontal="right"/>
    </xf>
    <xf numFmtId="0" fontId="20" fillId="0" borderId="28" xfId="9" applyNumberFormat="1" applyFont="1" applyBorder="1" applyProtection="1">
      <protection locked="0"/>
    </xf>
    <xf numFmtId="0" fontId="20" fillId="0" borderId="28" xfId="9" applyNumberFormat="1" applyFont="1" applyBorder="1" applyAlignment="1" applyProtection="1">
      <alignment horizontal="right"/>
      <protection locked="0"/>
    </xf>
    <xf numFmtId="0" fontId="20" fillId="0" borderId="28" xfId="9" applyNumberFormat="1" applyFont="1" applyFill="1" applyBorder="1" applyAlignment="1" applyProtection="1">
      <alignment horizontal="center"/>
      <protection locked="0"/>
    </xf>
    <xf numFmtId="0" fontId="22" fillId="0" borderId="29" xfId="9" applyNumberFormat="1" applyFont="1" applyFill="1" applyBorder="1" applyAlignment="1" applyProtection="1">
      <alignment horizontal="left" indent="1"/>
      <protection locked="0"/>
    </xf>
    <xf numFmtId="171" fontId="23" fillId="0" borderId="29" xfId="9" applyNumberFormat="1" applyFont="1" applyFill="1" applyBorder="1" applyAlignment="1" applyProtection="1">
      <alignment horizontal="right"/>
      <protection locked="0"/>
    </xf>
    <xf numFmtId="187" fontId="20" fillId="0" borderId="28" xfId="9" applyNumberFormat="1" applyFont="1" applyFill="1" applyBorder="1" applyAlignment="1" applyProtection="1">
      <alignment horizontal="left"/>
      <protection locked="0"/>
    </xf>
    <xf numFmtId="187" fontId="20" fillId="0" borderId="28" xfId="9" applyNumberFormat="1" applyFont="1" applyFill="1" applyBorder="1" applyAlignment="1" applyProtection="1">
      <alignment horizontal="center"/>
      <protection locked="0"/>
    </xf>
    <xf numFmtId="0" fontId="23" fillId="0" borderId="28" xfId="7" applyFont="1" applyBorder="1"/>
    <xf numFmtId="191" fontId="25" fillId="0" borderId="0" xfId="10" applyNumberFormat="1" applyFont="1" applyFill="1" applyBorder="1" applyAlignment="1" applyProtection="1">
      <alignment horizontal="right"/>
      <protection locked="0"/>
    </xf>
    <xf numFmtId="177" fontId="105" fillId="0" borderId="0" xfId="9" applyNumberFormat="1" applyFont="1" applyBorder="1" applyAlignment="1" applyProtection="1">
      <alignment horizontal="right"/>
      <protection locked="0"/>
    </xf>
    <xf numFmtId="174" fontId="105" fillId="0" borderId="0" xfId="1" applyNumberFormat="1" applyFont="1" applyFill="1" applyBorder="1" applyProtection="1">
      <protection locked="0"/>
    </xf>
    <xf numFmtId="0" fontId="105" fillId="0" borderId="0" xfId="7" applyFont="1"/>
    <xf numFmtId="192" fontId="105" fillId="0" borderId="0" xfId="10" applyNumberFormat="1" applyFont="1" applyFill="1" applyBorder="1" applyAlignment="1" applyProtection="1">
      <alignment horizontal="right"/>
      <protection locked="0"/>
    </xf>
    <xf numFmtId="14" fontId="105" fillId="0" borderId="0" xfId="9" applyNumberFormat="1" applyFont="1" applyFill="1" applyBorder="1" applyProtection="1">
      <protection locked="0"/>
    </xf>
    <xf numFmtId="171" fontId="105" fillId="0" borderId="0" xfId="7" applyNumberFormat="1" applyFont="1"/>
    <xf numFmtId="180" fontId="105" fillId="0" borderId="0" xfId="1" applyNumberFormat="1" applyFont="1" applyBorder="1" applyAlignment="1">
      <alignment horizontal="right"/>
    </xf>
    <xf numFmtId="174" fontId="105" fillId="0" borderId="0" xfId="1" applyNumberFormat="1" applyFont="1" applyBorder="1" applyAlignment="1">
      <alignment horizontal="right"/>
    </xf>
    <xf numFmtId="9" fontId="23" fillId="0" borderId="0" xfId="1" applyFont="1" applyFill="1" applyBorder="1" applyAlignment="1" applyProtection="1">
      <alignment horizontal="right"/>
      <protection locked="0"/>
    </xf>
    <xf numFmtId="191" fontId="23" fillId="0" borderId="0" xfId="10" applyNumberFormat="1" applyFont="1" applyFill="1" applyBorder="1" applyAlignment="1" applyProtection="1">
      <alignment horizontal="right"/>
      <protection locked="0"/>
    </xf>
    <xf numFmtId="171" fontId="105" fillId="0" borderId="0" xfId="9" applyNumberFormat="1" applyFont="1" applyFill="1" applyBorder="1" applyAlignment="1" applyProtection="1">
      <alignment horizontal="center"/>
      <protection locked="0"/>
    </xf>
    <xf numFmtId="200" fontId="105" fillId="0" borderId="0" xfId="1" applyNumberFormat="1" applyFont="1" applyFill="1" applyBorder="1" applyAlignment="1" applyProtection="1">
      <alignment horizontal="center"/>
      <protection locked="0"/>
    </xf>
    <xf numFmtId="212" fontId="105" fillId="0" borderId="0" xfId="7" applyNumberFormat="1" applyFont="1" applyAlignment="1">
      <alignment horizontal="center"/>
    </xf>
    <xf numFmtId="174" fontId="105" fillId="0" borderId="0" xfId="10" applyNumberFormat="1" applyFont="1" applyFill="1" applyBorder="1" applyAlignment="1" applyProtection="1">
      <alignment horizontal="center"/>
      <protection locked="0"/>
    </xf>
    <xf numFmtId="174" fontId="105" fillId="0" borderId="0" xfId="10" applyNumberFormat="1" applyFont="1" applyFill="1" applyAlignment="1" applyProtection="1">
      <alignment horizontal="center"/>
      <protection locked="0"/>
    </xf>
    <xf numFmtId="174" fontId="105" fillId="0" borderId="29" xfId="10" applyNumberFormat="1" applyFont="1" applyFill="1" applyBorder="1" applyAlignment="1" applyProtection="1">
      <alignment horizontal="center"/>
      <protection locked="0"/>
    </xf>
    <xf numFmtId="174" fontId="105" fillId="0" borderId="29" xfId="9" applyNumberFormat="1" applyFont="1" applyFill="1" applyBorder="1" applyAlignment="1" applyProtection="1">
      <alignment horizontal="center"/>
      <protection locked="0"/>
    </xf>
    <xf numFmtId="180" fontId="105" fillId="0" borderId="0" xfId="10" applyNumberFormat="1" applyFont="1" applyFill="1" applyBorder="1" applyAlignment="1" applyProtection="1">
      <alignment horizontal="center"/>
      <protection locked="0"/>
    </xf>
    <xf numFmtId="180" fontId="105" fillId="0" borderId="0" xfId="10" applyNumberFormat="1" applyFont="1" applyFill="1" applyBorder="1" applyAlignment="1" applyProtection="1">
      <alignment horizontal="center" vertical="center"/>
      <protection locked="0"/>
    </xf>
    <xf numFmtId="199" fontId="105" fillId="0" borderId="0" xfId="7" applyNumberFormat="1" applyFont="1" applyAlignment="1">
      <alignment horizontal="center" vertical="center"/>
    </xf>
    <xf numFmtId="191" fontId="105" fillId="0" borderId="0" xfId="9" applyNumberFormat="1" applyFont="1" applyFill="1" applyBorder="1" applyAlignment="1" applyProtection="1">
      <alignment horizontal="center" vertical="center"/>
      <protection locked="0"/>
    </xf>
    <xf numFmtId="0" fontId="107" fillId="7" borderId="0" xfId="0" applyFont="1" applyFill="1" applyAlignment="1">
      <alignment vertical="center"/>
    </xf>
    <xf numFmtId="37" fontId="107" fillId="7" borderId="0" xfId="0" applyNumberFormat="1" applyFont="1" applyFill="1" applyAlignment="1">
      <alignment vertical="center"/>
    </xf>
    <xf numFmtId="37" fontId="74" fillId="7" borderId="0" xfId="0" applyNumberFormat="1" applyFont="1" applyFill="1" applyAlignment="1">
      <alignment vertical="center"/>
    </xf>
    <xf numFmtId="169" fontId="107" fillId="7" borderId="0" xfId="0" applyNumberFormat="1" applyFont="1" applyFill="1" applyAlignment="1">
      <alignment horizontal="right"/>
    </xf>
    <xf numFmtId="180" fontId="105" fillId="0" borderId="6" xfId="0" applyNumberFormat="1" applyFont="1" applyBorder="1" applyAlignment="1">
      <alignment horizontal="right" vertical="center"/>
    </xf>
    <xf numFmtId="180" fontId="105" fillId="0" borderId="7" xfId="0" applyNumberFormat="1" applyFont="1" applyBorder="1" applyAlignment="1">
      <alignment horizontal="right" vertical="center"/>
    </xf>
    <xf numFmtId="180" fontId="105" fillId="0" borderId="8" xfId="0" applyNumberFormat="1" applyFont="1" applyBorder="1" applyAlignment="1">
      <alignment horizontal="right" vertical="center"/>
    </xf>
    <xf numFmtId="180" fontId="105" fillId="0" borderId="9" xfId="0" applyNumberFormat="1" applyFont="1" applyBorder="1" applyAlignment="1">
      <alignment horizontal="right" vertical="center"/>
    </xf>
    <xf numFmtId="180" fontId="105" fillId="0" borderId="0" xfId="0" applyNumberFormat="1" applyFont="1" applyAlignment="1">
      <alignment horizontal="right" vertical="center"/>
    </xf>
    <xf numFmtId="180" fontId="105" fillId="0" borderId="10" xfId="0" applyNumberFormat="1" applyFont="1" applyBorder="1" applyAlignment="1">
      <alignment horizontal="right" vertical="center"/>
    </xf>
    <xf numFmtId="180" fontId="105" fillId="0" borderId="11" xfId="0" applyNumberFormat="1" applyFont="1" applyBorder="1" applyAlignment="1">
      <alignment horizontal="right" vertical="center"/>
    </xf>
    <xf numFmtId="180" fontId="105" fillId="0" borderId="1" xfId="0" applyNumberFormat="1" applyFont="1" applyBorder="1" applyAlignment="1">
      <alignment horizontal="right" vertical="center"/>
    </xf>
    <xf numFmtId="180" fontId="105" fillId="0" borderId="12" xfId="0" applyNumberFormat="1" applyFont="1" applyBorder="1" applyAlignment="1">
      <alignment horizontal="right" vertical="center"/>
    </xf>
    <xf numFmtId="170" fontId="20" fillId="0" borderId="2" xfId="0" applyNumberFormat="1" applyFont="1" applyBorder="1" applyAlignment="1">
      <alignment horizontal="right"/>
    </xf>
    <xf numFmtId="174" fontId="105" fillId="0" borderId="6" xfId="0" applyNumberFormat="1" applyFont="1" applyBorder="1" applyAlignment="1">
      <alignment horizontal="right" vertical="center"/>
    </xf>
    <xf numFmtId="174" fontId="105" fillId="0" borderId="7" xfId="0" applyNumberFormat="1" applyFont="1" applyBorder="1" applyAlignment="1">
      <alignment horizontal="right" vertical="center"/>
    </xf>
    <xf numFmtId="174" fontId="105" fillId="0" borderId="8" xfId="0" applyNumberFormat="1" applyFont="1" applyBorder="1" applyAlignment="1">
      <alignment horizontal="right" vertical="center"/>
    </xf>
    <xf numFmtId="174" fontId="105" fillId="0" borderId="9" xfId="0" applyNumberFormat="1" applyFont="1" applyBorder="1" applyAlignment="1">
      <alignment horizontal="right" vertical="center"/>
    </xf>
    <xf numFmtId="174" fontId="105" fillId="0" borderId="0" xfId="0" applyNumberFormat="1" applyFont="1" applyAlignment="1">
      <alignment horizontal="right" vertical="center"/>
    </xf>
    <xf numFmtId="174" fontId="105" fillId="0" borderId="10" xfId="0" applyNumberFormat="1" applyFont="1" applyBorder="1" applyAlignment="1">
      <alignment horizontal="right" vertical="center"/>
    </xf>
    <xf numFmtId="174" fontId="105" fillId="0" borderId="11" xfId="0" applyNumberFormat="1" applyFont="1" applyBorder="1" applyAlignment="1">
      <alignment horizontal="right" vertical="center"/>
    </xf>
    <xf numFmtId="174" fontId="105" fillId="0" borderId="1" xfId="0" applyNumberFormat="1" applyFont="1" applyBorder="1" applyAlignment="1">
      <alignment horizontal="right" vertical="center"/>
    </xf>
    <xf numFmtId="174" fontId="105" fillId="0" borderId="12" xfId="0" applyNumberFormat="1" applyFont="1" applyBorder="1" applyAlignment="1">
      <alignment horizontal="right" vertical="center"/>
    </xf>
    <xf numFmtId="171" fontId="105" fillId="0" borderId="6" xfId="0" applyNumberFormat="1" applyFont="1" applyBorder="1" applyAlignment="1">
      <alignment horizontal="right"/>
    </xf>
    <xf numFmtId="171" fontId="105" fillId="0" borderId="7" xfId="0" applyNumberFormat="1" applyFont="1" applyBorder="1" applyAlignment="1">
      <alignment horizontal="right"/>
    </xf>
    <xf numFmtId="171" fontId="105" fillId="0" borderId="8" xfId="0" applyNumberFormat="1" applyFont="1" applyBorder="1" applyAlignment="1">
      <alignment horizontal="right"/>
    </xf>
    <xf numFmtId="171" fontId="105" fillId="0" borderId="9" xfId="0" applyNumberFormat="1" applyFont="1" applyBorder="1" applyAlignment="1">
      <alignment horizontal="right"/>
    </xf>
    <xf numFmtId="171" fontId="105" fillId="0" borderId="0" xfId="0" applyNumberFormat="1" applyFont="1" applyAlignment="1">
      <alignment horizontal="right"/>
    </xf>
    <xf numFmtId="171" fontId="105" fillId="0" borderId="10" xfId="0" applyNumberFormat="1" applyFont="1" applyBorder="1" applyAlignment="1">
      <alignment horizontal="right"/>
    </xf>
    <xf numFmtId="171" fontId="105" fillId="0" borderId="11" xfId="0" applyNumberFormat="1" applyFont="1" applyBorder="1" applyAlignment="1">
      <alignment horizontal="right"/>
    </xf>
    <xf numFmtId="171" fontId="105" fillId="0" borderId="1" xfId="0" applyNumberFormat="1" applyFont="1" applyBorder="1" applyAlignment="1">
      <alignment horizontal="right"/>
    </xf>
    <xf numFmtId="171" fontId="105" fillId="0" borderId="12" xfId="0" applyNumberFormat="1" applyFont="1" applyBorder="1" applyAlignment="1">
      <alignment horizontal="right"/>
    </xf>
    <xf numFmtId="171" fontId="25" fillId="0" borderId="18" xfId="0" applyNumberFormat="1" applyFont="1" applyBorder="1" applyAlignment="1">
      <alignment horizontal="right"/>
    </xf>
    <xf numFmtId="171" fontId="25" fillId="0" borderId="17" xfId="0" applyNumberFormat="1" applyFont="1" applyBorder="1" applyAlignment="1">
      <alignment horizontal="right"/>
    </xf>
    <xf numFmtId="171" fontId="25" fillId="0" borderId="16" xfId="0" applyNumberFormat="1" applyFont="1" applyBorder="1" applyAlignment="1">
      <alignment horizontal="right"/>
    </xf>
    <xf numFmtId="0" fontId="10" fillId="6" borderId="0" xfId="7" applyFont="1" applyFill="1"/>
    <xf numFmtId="0" fontId="104" fillId="6" borderId="0" xfId="0" applyFont="1" applyFill="1"/>
    <xf numFmtId="0" fontId="12" fillId="6" borderId="0" xfId="2" applyFont="1" applyFill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175" fontId="109" fillId="7" borderId="0" xfId="0" applyNumberFormat="1" applyFont="1" applyFill="1" applyAlignment="1">
      <alignment horizontal="centerContinuous"/>
    </xf>
    <xf numFmtId="175" fontId="107" fillId="7" borderId="0" xfId="0" applyNumberFormat="1" applyFont="1" applyFill="1" applyAlignment="1">
      <alignment horizontal="centerContinuous"/>
    </xf>
    <xf numFmtId="171" fontId="74" fillId="8" borderId="0" xfId="7" applyNumberFormat="1" applyFont="1" applyFill="1" applyAlignment="1">
      <alignment vertical="center"/>
    </xf>
    <xf numFmtId="171" fontId="107" fillId="8" borderId="0" xfId="7" applyNumberFormat="1" applyFont="1" applyFill="1" applyAlignment="1">
      <alignment horizontal="right"/>
    </xf>
    <xf numFmtId="199" fontId="20" fillId="0" borderId="28" xfId="9" applyNumberFormat="1" applyFont="1" applyFill="1" applyBorder="1" applyProtection="1">
      <protection locked="0"/>
    </xf>
    <xf numFmtId="170" fontId="20" fillId="0" borderId="30" xfId="0" applyNumberFormat="1" applyFont="1" applyBorder="1" applyAlignment="1">
      <alignment horizontal="right"/>
    </xf>
    <xf numFmtId="170" fontId="20" fillId="0" borderId="2" xfId="7" applyNumberFormat="1" applyFont="1" applyBorder="1" applyAlignment="1">
      <alignment horizontal="right"/>
    </xf>
    <xf numFmtId="195" fontId="20" fillId="0" borderId="2" xfId="7" applyNumberFormat="1" applyFont="1" applyBorder="1" applyAlignment="1">
      <alignment horizontal="right"/>
    </xf>
    <xf numFmtId="169" fontId="20" fillId="0" borderId="28" xfId="7" applyNumberFormat="1" applyFont="1" applyBorder="1" applyAlignment="1">
      <alignment horizontal="center"/>
    </xf>
    <xf numFmtId="169" fontId="20" fillId="0" borderId="28" xfId="7" applyNumberFormat="1" applyFont="1" applyBorder="1" applyAlignment="1">
      <alignment horizontal="right"/>
    </xf>
    <xf numFmtId="169" fontId="20" fillId="0" borderId="28" xfId="0" applyNumberFormat="1" applyFont="1" applyBorder="1" applyAlignment="1">
      <alignment horizontal="right"/>
    </xf>
    <xf numFmtId="169" fontId="20" fillId="0" borderId="28" xfId="0" applyNumberFormat="1" applyFont="1" applyBorder="1" applyAlignment="1">
      <alignment horizontal="center"/>
    </xf>
    <xf numFmtId="171" fontId="45" fillId="0" borderId="28" xfId="9" applyNumberFormat="1" applyFont="1" applyFill="1" applyBorder="1" applyProtection="1">
      <protection locked="0"/>
    </xf>
    <xf numFmtId="171" fontId="110" fillId="0" borderId="0" xfId="9" applyNumberFormat="1" applyFont="1" applyFill="1" applyBorder="1" applyProtection="1">
      <protection locked="0"/>
    </xf>
    <xf numFmtId="171" fontId="105" fillId="0" borderId="0" xfId="9" applyNumberFormat="1" applyFont="1" applyFill="1" applyBorder="1" applyProtection="1">
      <protection locked="0"/>
    </xf>
    <xf numFmtId="0" fontId="111" fillId="0" borderId="0" xfId="0" applyFont="1"/>
    <xf numFmtId="171" fontId="105" fillId="0" borderId="0" xfId="9" applyNumberFormat="1" applyFont="1" applyFill="1" applyBorder="1" applyAlignment="1" applyProtection="1">
      <alignment horizontal="right"/>
      <protection locked="0"/>
    </xf>
    <xf numFmtId="3" fontId="112" fillId="5" borderId="0" xfId="0" applyNumberFormat="1" applyFont="1" applyFill="1"/>
    <xf numFmtId="3" fontId="81" fillId="0" borderId="0" xfId="0" applyNumberFormat="1" applyFont="1"/>
    <xf numFmtId="3" fontId="112" fillId="0" borderId="0" xfId="0" applyNumberFormat="1" applyFont="1"/>
    <xf numFmtId="173" fontId="105" fillId="0" borderId="0" xfId="0" applyNumberFormat="1" applyFont="1"/>
    <xf numFmtId="0" fontId="83" fillId="0" borderId="0" xfId="0" applyFont="1" applyAlignment="1">
      <alignment horizontal="left"/>
    </xf>
    <xf numFmtId="171" fontId="83" fillId="0" borderId="29" xfId="9" applyNumberFormat="1" applyFont="1" applyFill="1" applyBorder="1" applyProtection="1">
      <protection locked="0"/>
    </xf>
    <xf numFmtId="171" fontId="23" fillId="0" borderId="29" xfId="9" applyNumberFormat="1" applyFont="1" applyFill="1" applyBorder="1" applyProtection="1">
      <protection locked="0"/>
    </xf>
    <xf numFmtId="171" fontId="105" fillId="0" borderId="29" xfId="9" applyNumberFormat="1" applyFont="1" applyFill="1" applyBorder="1" applyProtection="1">
      <protection locked="0"/>
    </xf>
    <xf numFmtId="171" fontId="105" fillId="0" borderId="29" xfId="9" applyNumberFormat="1" applyFont="1" applyFill="1" applyBorder="1" applyAlignment="1" applyProtection="1">
      <alignment horizontal="right"/>
      <protection locked="0"/>
    </xf>
    <xf numFmtId="171" fontId="83" fillId="0" borderId="29" xfId="9" applyNumberFormat="1" applyFont="1" applyFill="1" applyBorder="1" applyAlignment="1" applyProtection="1">
      <alignment horizontal="right"/>
      <protection locked="0"/>
    </xf>
    <xf numFmtId="0" fontId="77" fillId="0" borderId="0" xfId="9" applyNumberFormat="1" applyFont="1" applyBorder="1" applyAlignment="1" applyProtection="1">
      <alignment horizontal="left" vertical="center"/>
      <protection locked="0"/>
    </xf>
    <xf numFmtId="206" fontId="77" fillId="0" borderId="0" xfId="9" applyNumberFormat="1" applyFont="1" applyBorder="1" applyAlignment="1" applyProtection="1">
      <alignment horizontal="right" vertical="center"/>
      <protection locked="0"/>
    </xf>
    <xf numFmtId="9" fontId="77" fillId="0" borderId="0" xfId="1" applyFont="1" applyBorder="1" applyAlignment="1" applyProtection="1">
      <alignment horizontal="right" vertical="center"/>
      <protection locked="0"/>
    </xf>
    <xf numFmtId="170" fontId="78" fillId="0" borderId="2" xfId="0" applyNumberFormat="1" applyFont="1" applyBorder="1" applyAlignment="1">
      <alignment horizontal="center"/>
    </xf>
    <xf numFmtId="169" fontId="78" fillId="0" borderId="2" xfId="0" applyNumberFormat="1" applyFont="1" applyBorder="1" applyAlignment="1">
      <alignment horizontal="center"/>
    </xf>
    <xf numFmtId="0" fontId="113" fillId="0" borderId="0" xfId="0" applyFont="1"/>
    <xf numFmtId="3" fontId="76" fillId="0" borderId="0" xfId="0" applyNumberFormat="1" applyFont="1"/>
    <xf numFmtId="9" fontId="76" fillId="0" borderId="0" xfId="1" applyFont="1"/>
    <xf numFmtId="0" fontId="102" fillId="6" borderId="0" xfId="4" applyFont="1" applyFill="1"/>
    <xf numFmtId="0" fontId="103" fillId="6" borderId="0" xfId="4" applyFont="1" applyFill="1" applyAlignment="1">
      <alignment horizontal="right"/>
    </xf>
    <xf numFmtId="0" fontId="115" fillId="0" borderId="0" xfId="4" applyFont="1" applyAlignment="1" applyProtection="1">
      <alignment vertical="center"/>
      <protection locked="0"/>
    </xf>
    <xf numFmtId="0" fontId="39" fillId="0" borderId="0" xfId="4" applyFont="1" applyAlignment="1">
      <alignment vertical="center"/>
    </xf>
    <xf numFmtId="0" fontId="74" fillId="0" borderId="0" xfId="4" applyFont="1" applyAlignment="1">
      <alignment horizontal="left" vertical="center"/>
    </xf>
    <xf numFmtId="197" fontId="114" fillId="0" borderId="0" xfId="0" applyNumberFormat="1" applyFont="1" applyAlignment="1">
      <alignment horizontal="center" vertical="center"/>
    </xf>
    <xf numFmtId="0" fontId="115" fillId="0" borderId="0" xfId="4" applyFont="1" applyProtection="1">
      <protection locked="0"/>
    </xf>
    <xf numFmtId="0" fontId="39" fillId="0" borderId="0" xfId="4" applyFont="1"/>
    <xf numFmtId="0" fontId="1" fillId="0" borderId="0" xfId="0" applyFont="1"/>
    <xf numFmtId="0" fontId="74" fillId="0" borderId="0" xfId="4" applyFont="1" applyAlignment="1">
      <alignment horizontal="left"/>
    </xf>
    <xf numFmtId="197" fontId="114" fillId="0" borderId="0" xfId="0" applyNumberFormat="1" applyFont="1" applyAlignment="1">
      <alignment horizontal="center"/>
    </xf>
    <xf numFmtId="0" fontId="66" fillId="0" borderId="0" xfId="4" applyFont="1" applyAlignment="1" applyProtection="1">
      <alignment vertical="center"/>
      <protection locked="0"/>
    </xf>
    <xf numFmtId="0" fontId="66" fillId="0" borderId="0" xfId="4" applyFont="1" applyProtection="1">
      <protection locked="0"/>
    </xf>
    <xf numFmtId="0" fontId="106" fillId="6" borderId="0" xfId="6" applyFont="1" applyFill="1"/>
    <xf numFmtId="203" fontId="104" fillId="6" borderId="0" xfId="7" applyNumberFormat="1" applyFont="1" applyFill="1" applyAlignment="1">
      <alignment horizontal="centerContinuous"/>
    </xf>
    <xf numFmtId="0" fontId="107" fillId="9" borderId="0" xfId="7" applyFont="1" applyFill="1" applyAlignment="1">
      <alignment vertical="center"/>
    </xf>
    <xf numFmtId="37" fontId="107" fillId="9" borderId="0" xfId="7" applyNumberFormat="1" applyFont="1" applyFill="1" applyAlignment="1">
      <alignment vertical="center"/>
    </xf>
    <xf numFmtId="0" fontId="74" fillId="9" borderId="0" xfId="7" applyFont="1" applyFill="1"/>
    <xf numFmtId="0" fontId="7" fillId="0" borderId="28" xfId="7" applyFont="1" applyBorder="1"/>
    <xf numFmtId="0" fontId="23" fillId="0" borderId="0" xfId="7" applyFont="1" applyAlignment="1">
      <alignment horizontal="center"/>
    </xf>
    <xf numFmtId="0" fontId="7" fillId="0" borderId="0" xfId="7" applyFont="1" applyAlignment="1">
      <alignment horizontal="left"/>
    </xf>
    <xf numFmtId="0" fontId="67" fillId="0" borderId="28" xfId="7" applyFont="1" applyBorder="1" applyAlignment="1">
      <alignment horizontal="centerContinuous"/>
    </xf>
    <xf numFmtId="169" fontId="20" fillId="0" borderId="28" xfId="7" applyNumberFormat="1" applyFont="1" applyBorder="1" applyAlignment="1">
      <alignment horizontal="centerContinuous"/>
    </xf>
    <xf numFmtId="0" fontId="7" fillId="0" borderId="28" xfId="7" applyFont="1" applyBorder="1" applyAlignment="1">
      <alignment horizontal="centerContinuous"/>
    </xf>
    <xf numFmtId="0" fontId="23" fillId="0" borderId="0" xfId="7" applyFont="1" applyAlignment="1">
      <alignment horizontal="centerContinuous"/>
    </xf>
    <xf numFmtId="0" fontId="7" fillId="0" borderId="0" xfId="7" applyFont="1" applyAlignment="1">
      <alignment horizontal="centerContinuous"/>
    </xf>
    <xf numFmtId="0" fontId="116" fillId="0" borderId="0" xfId="7" applyFont="1"/>
    <xf numFmtId="210" fontId="117" fillId="0" borderId="0" xfId="7" applyNumberFormat="1" applyFont="1" applyAlignment="1">
      <alignment horizontal="centerContinuous"/>
    </xf>
    <xf numFmtId="0" fontId="118" fillId="0" borderId="0" xfId="7" applyFont="1" applyAlignment="1">
      <alignment horizontal="centerContinuous"/>
    </xf>
    <xf numFmtId="0" fontId="116" fillId="0" borderId="0" xfId="7" applyFont="1" applyAlignment="1">
      <alignment horizontal="centerContinuous"/>
    </xf>
    <xf numFmtId="174" fontId="117" fillId="0" borderId="0" xfId="7" applyNumberFormat="1" applyFont="1" applyAlignment="1">
      <alignment horizontal="centerContinuous"/>
    </xf>
    <xf numFmtId="0" fontId="119" fillId="0" borderId="0" xfId="7" applyFont="1" applyAlignment="1">
      <alignment horizontal="centerContinuous"/>
    </xf>
    <xf numFmtId="192" fontId="117" fillId="0" borderId="0" xfId="7" applyNumberFormat="1" applyFont="1" applyAlignment="1">
      <alignment horizontal="centerContinuous"/>
    </xf>
    <xf numFmtId="0" fontId="20" fillId="0" borderId="28" xfId="4" applyFont="1" applyBorder="1"/>
    <xf numFmtId="0" fontId="20" fillId="0" borderId="28" xfId="4" applyFont="1" applyBorder="1" applyAlignment="1">
      <alignment horizontal="right"/>
    </xf>
    <xf numFmtId="169" fontId="20" fillId="0" borderId="28" xfId="7" applyNumberFormat="1" applyFont="1" applyBorder="1"/>
    <xf numFmtId="0" fontId="0" fillId="0" borderId="28" xfId="0" applyBorder="1"/>
    <xf numFmtId="0" fontId="3" fillId="0" borderId="28" xfId="21" applyBorder="1"/>
    <xf numFmtId="191" fontId="105" fillId="0" borderId="0" xfId="10" applyNumberFormat="1" applyFont="1" applyFill="1" applyBorder="1" applyAlignment="1" applyProtection="1">
      <alignment horizontal="right"/>
      <protection locked="0"/>
    </xf>
    <xf numFmtId="168" fontId="47" fillId="0" borderId="31" xfId="9" applyNumberFormat="1" applyFont="1" applyBorder="1" applyAlignment="1" applyProtection="1">
      <alignment horizontal="centerContinuous"/>
      <protection locked="0"/>
    </xf>
    <xf numFmtId="168" fontId="23" fillId="0" borderId="31" xfId="9" applyNumberFormat="1" applyFont="1" applyBorder="1" applyAlignment="1" applyProtection="1">
      <alignment horizontal="centerContinuous"/>
      <protection locked="0"/>
    </xf>
    <xf numFmtId="168" fontId="47" fillId="0" borderId="31" xfId="9" applyNumberFormat="1" applyFont="1" applyBorder="1" applyAlignment="1" applyProtection="1">
      <alignment horizontal="centerContinuous" vertical="center"/>
      <protection locked="0"/>
    </xf>
    <xf numFmtId="184" fontId="23" fillId="0" borderId="20" xfId="9" applyNumberFormat="1" applyFont="1" applyFill="1" applyBorder="1" applyAlignment="1" applyProtection="1">
      <alignment horizontal="center" vertical="center"/>
      <protection locked="0"/>
    </xf>
    <xf numFmtId="0" fontId="7" fillId="0" borderId="34" xfId="7" applyFont="1" applyBorder="1" applyAlignment="1">
      <alignment vertical="center"/>
    </xf>
    <xf numFmtId="168" fontId="47" fillId="0" borderId="33" xfId="9" applyNumberFormat="1" applyFont="1" applyBorder="1" applyAlignment="1" applyProtection="1">
      <alignment horizontal="center" wrapText="1"/>
      <protection locked="0"/>
    </xf>
    <xf numFmtId="168" fontId="47" fillId="0" borderId="31" xfId="9" applyNumberFormat="1" applyFont="1" applyBorder="1" applyAlignment="1" applyProtection="1">
      <alignment horizontal="centerContinuous" wrapText="1"/>
      <protection locked="0"/>
    </xf>
    <xf numFmtId="192" fontId="23" fillId="0" borderId="0" xfId="9" applyNumberFormat="1" applyFont="1" applyFill="1" applyBorder="1" applyAlignment="1" applyProtection="1">
      <alignment horizontal="center" vertical="center"/>
      <protection locked="0"/>
    </xf>
    <xf numFmtId="192" fontId="23" fillId="0" borderId="32" xfId="9" applyNumberFormat="1" applyFont="1" applyFill="1" applyBorder="1" applyAlignment="1" applyProtection="1">
      <alignment horizontal="center" vertical="center"/>
      <protection locked="0"/>
    </xf>
    <xf numFmtId="174" fontId="22" fillId="0" borderId="0" xfId="10" applyNumberFormat="1" applyFont="1" applyFill="1" applyBorder="1" applyAlignment="1" applyProtection="1">
      <alignment horizontal="center" vertical="center"/>
      <protection locked="0"/>
    </xf>
    <xf numFmtId="174" fontId="22" fillId="0" borderId="0" xfId="10" applyNumberFormat="1" applyFont="1" applyFill="1" applyAlignment="1" applyProtection="1">
      <alignment horizontal="center" vertical="center"/>
      <protection locked="0"/>
    </xf>
    <xf numFmtId="174" fontId="25" fillId="0" borderId="13" xfId="10" applyNumberFormat="1" applyFont="1" applyFill="1" applyBorder="1" applyAlignment="1" applyProtection="1">
      <alignment horizontal="center" vertical="center"/>
      <protection locked="0"/>
    </xf>
    <xf numFmtId="184" fontId="10" fillId="0" borderId="34" xfId="9" applyNumberFormat="1" applyFont="1" applyFill="1" applyBorder="1" applyAlignment="1" applyProtection="1">
      <alignment horizontal="right" vertical="center"/>
      <protection locked="0"/>
    </xf>
    <xf numFmtId="192" fontId="23" fillId="0" borderId="34" xfId="9" applyNumberFormat="1" applyFont="1" applyFill="1" applyBorder="1" applyAlignment="1" applyProtection="1">
      <alignment horizontal="center" vertical="center"/>
      <protection locked="0"/>
    </xf>
    <xf numFmtId="192" fontId="22" fillId="0" borderId="0" xfId="10" applyNumberFormat="1" applyFont="1" applyFill="1" applyBorder="1" applyAlignment="1" applyProtection="1">
      <alignment horizontal="center" vertical="center"/>
      <protection locked="0"/>
    </xf>
    <xf numFmtId="192" fontId="22" fillId="0" borderId="0" xfId="10" applyNumberFormat="1" applyFont="1" applyFill="1" applyAlignment="1" applyProtection="1">
      <alignment horizontal="center" vertical="center"/>
      <protection locked="0"/>
    </xf>
    <xf numFmtId="192" fontId="25" fillId="0" borderId="13" xfId="10" applyNumberFormat="1" applyFont="1" applyFill="1" applyBorder="1" applyAlignment="1" applyProtection="1">
      <alignment horizontal="center" vertical="center"/>
      <protection locked="0"/>
    </xf>
    <xf numFmtId="0" fontId="7" fillId="0" borderId="34" xfId="7" applyFont="1" applyBorder="1" applyAlignment="1">
      <alignment horizontal="center" vertical="center"/>
    </xf>
    <xf numFmtId="176" fontId="10" fillId="0" borderId="34" xfId="10" applyNumberFormat="1" applyFont="1" applyFill="1" applyBorder="1" applyAlignment="1" applyProtection="1">
      <alignment horizontal="center" vertical="center"/>
      <protection locked="0"/>
    </xf>
    <xf numFmtId="0" fontId="83" fillId="0" borderId="0" xfId="7" applyFont="1" applyAlignment="1">
      <alignment wrapText="1"/>
    </xf>
    <xf numFmtId="0" fontId="91" fillId="0" borderId="0" xfId="0" applyFont="1" applyAlignment="1">
      <alignment horizontal="left" vertical="top" wrapText="1"/>
    </xf>
    <xf numFmtId="213" fontId="20" fillId="0" borderId="2" xfId="7" applyNumberFormat="1" applyFont="1" applyBorder="1" applyAlignment="1">
      <alignment horizontal="right"/>
    </xf>
    <xf numFmtId="0" fontId="78" fillId="0" borderId="0" xfId="0" applyFont="1" applyAlignment="1">
      <alignment horizontal="center"/>
    </xf>
  </cellXfs>
  <cellStyles count="24">
    <cellStyle name="Comma" xfId="13" builtinId="3"/>
    <cellStyle name="Comma 2" xfId="5" xr:uid="{E4921B80-8D66-4D3A-80A8-30D7AC6654E4}"/>
    <cellStyle name="Comma 2 2" xfId="8" xr:uid="{33AE53A1-2CAB-4F9A-98A8-76CC0170A50E}"/>
    <cellStyle name="Comma 2 2 2" xfId="14" xr:uid="{431892DB-AB9A-4633-8017-AA381734D6F8}"/>
    <cellStyle name="Comma 3" xfId="9" xr:uid="{9013D041-6AC7-421B-9454-E94F9F6AC0E2}"/>
    <cellStyle name="Comma 3 2" xfId="15" xr:uid="{B93D2F20-78CA-4DA8-A534-728C817149B4}"/>
    <cellStyle name="Comma 4" xfId="11" xr:uid="{DABF21A8-6D11-4CFF-A523-DF653DA56409}"/>
    <cellStyle name="Comma 5" xfId="16" xr:uid="{310994B7-443A-4F05-8FDA-3B4BB68F1BF9}"/>
    <cellStyle name="Hyperlink 2" xfId="2" xr:uid="{AB6B3A7D-3778-4F12-89C6-854994145915}"/>
    <cellStyle name="Hyperlink 2 2" xfId="3" xr:uid="{68C7A1A0-E6BF-4680-81F4-BC0E6FC46C33}"/>
    <cellStyle name="Normal" xfId="0" builtinId="0"/>
    <cellStyle name="Normal 2" xfId="7" xr:uid="{1622EAD9-A76B-4FD1-8241-3DE773D092F6}"/>
    <cellStyle name="Normal 2 2 2" xfId="4" xr:uid="{78B9DE1D-532C-4950-9B15-A4A33EAE21E4}"/>
    <cellStyle name="Normal 3" xfId="12" xr:uid="{A7500AAD-92F7-436F-A5BB-6545E7F88122}"/>
    <cellStyle name="Normal 4" xfId="17" xr:uid="{6DAB517E-93FE-4664-ABD9-DA15CE54844F}"/>
    <cellStyle name="Normal 4 2" xfId="19" xr:uid="{1E8FD2EF-ADAA-4F6E-A009-88F69838B57E}"/>
    <cellStyle name="Normal 5" xfId="21" xr:uid="{30EC386C-4BBA-442E-B9AB-010EFBE7FF7C}"/>
    <cellStyle name="Per cent" xfId="1" builtinId="5"/>
    <cellStyle name="Percent 2" xfId="10" xr:uid="{ABD919A6-2362-4532-BB45-45C5E28B9575}"/>
    <cellStyle name="Percent 3" xfId="18" xr:uid="{59167963-2F22-4B43-85BB-575B809A1EF4}"/>
    <cellStyle name="Percent 3 2" xfId="20" xr:uid="{28769952-26C4-442F-8C95-D50632E7A30A}"/>
    <cellStyle name="Percent1" xfId="23" xr:uid="{8F1D166B-3AE8-0544-8617-D05753860A77}"/>
    <cellStyle name="Price" xfId="22" xr:uid="{50351E2A-2ABE-2040-B186-CFE4C4F6FF57}"/>
    <cellStyle name="TitleNormal" xfId="6" xr:uid="{0EDC5827-EA85-4EA1-A381-6FD8E95C55F6}"/>
  </cellStyles>
  <dxfs count="100">
    <dxf>
      <font>
        <b/>
        <i val="0"/>
        <color theme="0"/>
      </font>
      <fill>
        <patternFill>
          <bgColor rgb="FFFA621C"/>
        </patternFill>
      </fill>
    </dxf>
    <dxf>
      <font>
        <b/>
        <i val="0"/>
        <color theme="0"/>
      </font>
      <fill>
        <patternFill>
          <bgColor rgb="FFFA621C"/>
        </patternFill>
      </fill>
    </dxf>
    <dxf>
      <font>
        <b/>
        <i val="0"/>
        <color theme="0"/>
      </font>
      <fill>
        <patternFill patternType="solid">
          <bgColor rgb="FFFA621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 patternType="solid">
          <bgColor rgb="FFFA621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b/>
        <i val="0"/>
        <color theme="0"/>
      </font>
      <fill>
        <patternFill>
          <bgColor rgb="FFFA621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b/>
        <i val="0"/>
        <color theme="0"/>
      </font>
      <fill>
        <patternFill patternType="solid">
          <bgColor rgb="FFFA621C"/>
        </patternFill>
      </fill>
    </dxf>
  </dxfs>
  <tableStyles count="0" defaultTableStyle="TableStyleMedium2" defaultPivotStyle="PivotStyleLight16"/>
  <colors>
    <mruColors>
      <color rgb="FF4F9ED9"/>
      <color rgb="FF606060"/>
      <color rgb="FF404040"/>
      <color rgb="FF005AA0"/>
      <color rgb="FFB0B0B0"/>
      <color rgb="FF4D4D4D"/>
      <color rgb="FFF2F2F2"/>
      <color rgb="FFD9D9D9"/>
      <color rgb="FFF5F5F5"/>
      <color rgb="FF04A4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433380755849167"/>
          <c:y val="6.5565685868213819E-2"/>
          <c:w val="0.83938848431065971"/>
          <c:h val="0.902609990529707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Outputs!$T$28</c:f>
              <c:strCache>
                <c:ptCount val="1"/>
                <c:pt idx="0">
                  <c:v>Total Debt</c:v>
                </c:pt>
              </c:strCache>
            </c:strRef>
          </c:tx>
          <c:spPr>
            <a:solidFill>
              <a:srgbClr val="005AA0"/>
            </a:solidFill>
            <a:ln>
              <a:noFill/>
            </a:ln>
            <a:effectLst/>
          </c:spPr>
          <c:invertIfNegative val="0"/>
          <c:cat>
            <c:numRef>
              <c:f>Outputs!$W$24:$AF$24</c:f>
              <c:numCache>
                <c:formatCode>0""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Outputs!$W$28:$AF$28</c:f>
              <c:numCache>
                <c:formatCode>_(#,##0_);\(#,##0\);_("–"_);_(@_)</c:formatCode>
                <c:ptCount val="10"/>
                <c:pt idx="0">
                  <c:v>2002277.5252305549</c:v>
                </c:pt>
                <c:pt idx="1">
                  <c:v>2122168.8149103262</c:v>
                </c:pt>
                <c:pt idx="2">
                  <c:v>2198282.8596652956</c:v>
                </c:pt>
                <c:pt idx="3">
                  <c:v>2175071.0083165811</c:v>
                </c:pt>
                <c:pt idx="4">
                  <c:v>2135191.9622686044</c:v>
                </c:pt>
                <c:pt idx="5">
                  <c:v>2188571.7613253198</c:v>
                </c:pt>
                <c:pt idx="6">
                  <c:v>2243286.0553584527</c:v>
                </c:pt>
                <c:pt idx="7">
                  <c:v>2299368.2067424143</c:v>
                </c:pt>
                <c:pt idx="8">
                  <c:v>2356852.4119109744</c:v>
                </c:pt>
                <c:pt idx="9">
                  <c:v>2415773.7222087486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08-564C-96AD-16AC50F5F72B}"/>
            </c:ext>
          </c:extLst>
        </c:ser>
        <c:ser>
          <c:idx val="1"/>
          <c:order val="1"/>
          <c:tx>
            <c:strRef>
              <c:f>Outputs!$T$27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4D4D4D"/>
            </a:solidFill>
            <a:ln>
              <a:noFill/>
            </a:ln>
            <a:effectLst/>
          </c:spPr>
          <c:invertIfNegative val="0"/>
          <c:cat>
            <c:numRef>
              <c:f>Outputs!$W$24:$AF$24</c:f>
              <c:numCache>
                <c:formatCode>0""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Outputs!$W$27:$AF$27</c:f>
              <c:numCache>
                <c:formatCode>_(#,##0_);\(#,##0\);_("–"_);_(@_)</c:formatCode>
                <c:ptCount val="10"/>
                <c:pt idx="0">
                  <c:v>31145.985000000077</c:v>
                </c:pt>
                <c:pt idx="1">
                  <c:v>129567.29760000014</c:v>
                </c:pt>
                <c:pt idx="2">
                  <c:v>231601.54445999995</c:v>
                </c:pt>
                <c:pt idx="3">
                  <c:v>407408.17139100027</c:v>
                </c:pt>
                <c:pt idx="4">
                  <c:v>630667.84931326832</c:v>
                </c:pt>
                <c:pt idx="5">
                  <c:v>981249.09932596632</c:v>
                </c:pt>
                <c:pt idx="6">
                  <c:v>1312376.0681166924</c:v>
                </c:pt>
                <c:pt idx="7">
                  <c:v>1545979.0082414635</c:v>
                </c:pt>
                <c:pt idx="8">
                  <c:v>1821356.5190844748</c:v>
                </c:pt>
                <c:pt idx="9">
                  <c:v>1974350.4666875703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08-564C-96AD-16AC50F5F7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27"/>
        <c:axId val="221970591"/>
        <c:axId val="221950623"/>
      </c:barChart>
      <c:catAx>
        <c:axId val="221970591"/>
        <c:scaling>
          <c:orientation val="minMax"/>
        </c:scaling>
        <c:delete val="0"/>
        <c:axPos val="b"/>
        <c:numFmt formatCode="0&quot;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221950623"/>
        <c:crosses val="autoZero"/>
        <c:auto val="1"/>
        <c:lblAlgn val="ctr"/>
        <c:lblOffset val="100"/>
        <c:noMultiLvlLbl val="0"/>
      </c:catAx>
      <c:valAx>
        <c:axId val="221950623"/>
        <c:scaling>
          <c:orientation val="minMax"/>
          <c:max val="2500000"/>
          <c:min val="0"/>
        </c:scaling>
        <c:delete val="0"/>
        <c:axPos val="l"/>
        <c:majorGridlines>
          <c:spPr>
            <a:ln w="9525" cap="flat" cmpd="sng" algn="ctr">
              <a:solidFill>
                <a:srgbClr val="DDDEE0"/>
              </a:solidFill>
              <a:prstDash val="dash"/>
              <a:round/>
            </a:ln>
            <a:effectLst/>
          </c:spPr>
        </c:majorGridlines>
        <c:numFmt formatCode="_(#,##0_);\(#,##0\);_(&quot;–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221970591"/>
        <c:crosses val="autoZero"/>
        <c:crossBetween val="between"/>
        <c:majorUnit val="500000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2198310598499132"/>
          <c:y val="5.4489282589676334E-3"/>
          <c:w val="0.28892813574359544"/>
          <c:h val="0.1323318137864345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noFill/>
      <a:round/>
    </a:ln>
    <a:effectLst/>
  </c:spPr>
  <c:txPr>
    <a:bodyPr/>
    <a:lstStyle/>
    <a:p>
      <a:pPr>
        <a:defRPr sz="900">
          <a:solidFill>
            <a:sysClr val="windowText" lastClr="000000"/>
          </a:solidFill>
          <a:latin typeface="Open Sans" panose="020B0606030504020204" pitchFamily="34" charset="0"/>
          <a:ea typeface="Open Sans" panose="020B0606030504020204" pitchFamily="34" charset="0"/>
          <a:cs typeface="Open Sans" panose="020B060603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1614852022807494E-2"/>
          <c:y val="6.5565685868213819E-2"/>
          <c:w val="0.91128410942166715"/>
          <c:h val="0.84879467749313042"/>
        </c:manualLayout>
      </c:layout>
      <c:lineChart>
        <c:grouping val="standard"/>
        <c:varyColors val="0"/>
        <c:ser>
          <c:idx val="0"/>
          <c:order val="0"/>
          <c:tx>
            <c:strRef>
              <c:f>Outputs!$T$30</c:f>
              <c:strCache>
                <c:ptCount val="1"/>
                <c:pt idx="0">
                  <c:v>Total Debt / EBITDA 
Covenant 1: max 4,0x by 2030</c:v>
                </c:pt>
              </c:strCache>
            </c:strRef>
          </c:tx>
          <c:spPr>
            <a:ln w="28575" cap="rnd">
              <a:solidFill>
                <a:srgbClr val="005AA0"/>
              </a:solidFill>
              <a:round/>
            </a:ln>
            <a:effectLst/>
          </c:spPr>
          <c:marker>
            <c:symbol val="circle"/>
            <c:size val="5"/>
            <c:spPr>
              <a:pattFill prst="pct5">
                <a:fgClr>
                  <a:srgbClr val="005AA0"/>
                </a:fgClr>
                <a:bgClr>
                  <a:srgbClr val="005AA0"/>
                </a:bgClr>
              </a:pattFill>
              <a:ln w="9525">
                <a:solidFill>
                  <a:srgbClr val="005AA0"/>
                </a:solidFill>
              </a:ln>
              <a:effectLst/>
            </c:spPr>
          </c:marker>
          <c:cat>
            <c:numRef>
              <c:f>Outputs!$AA$24:$AF$24</c:f>
              <c:numCache>
                <c:formatCode>0""</c:formatCode>
                <c:ptCount val="6"/>
                <c:pt idx="0">
                  <c:v>2029</c:v>
                </c:pt>
                <c:pt idx="1">
                  <c:v>2030</c:v>
                </c:pt>
                <c:pt idx="2">
                  <c:v>2031</c:v>
                </c:pt>
                <c:pt idx="3">
                  <c:v>2032</c:v>
                </c:pt>
                <c:pt idx="4">
                  <c:v>2033</c:v>
                </c:pt>
                <c:pt idx="5">
                  <c:v>2034</c:v>
                </c:pt>
              </c:numCache>
            </c:numRef>
          </c:cat>
          <c:val>
            <c:numRef>
              <c:f>Outputs!$AA$30:$AF$30</c:f>
              <c:numCache>
                <c:formatCode>_(0.0\x_);\(0.0\x\);_("–"_);_(@_)</c:formatCode>
                <c:ptCount val="6"/>
                <c:pt idx="0">
                  <c:v>3.385604585034113</c:v>
                </c:pt>
                <c:pt idx="1">
                  <c:v>2.2303936511418763</c:v>
                </c:pt>
                <c:pt idx="2">
                  <c:v>1.7093317303306592</c:v>
                </c:pt>
                <c:pt idx="3">
                  <c:v>1.4873217517732817</c:v>
                </c:pt>
                <c:pt idx="4">
                  <c:v>1.2940093755481066</c:v>
                </c:pt>
                <c:pt idx="5">
                  <c:v>1.2235789759564664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95-9A44-A910-4FCEEB8C5FD2}"/>
            </c:ext>
          </c:extLst>
        </c:ser>
        <c:ser>
          <c:idx val="1"/>
          <c:order val="1"/>
          <c:tx>
            <c:strRef>
              <c:f>Outputs!$T$31</c:f>
              <c:strCache>
                <c:ptCount val="1"/>
                <c:pt idx="0">
                  <c:v>Debt Service Coverage Ratio
Covenant 2: min. 2,0x by 2030</c:v>
                </c:pt>
              </c:strCache>
            </c:strRef>
          </c:tx>
          <c:spPr>
            <a:ln w="28575" cap="rnd">
              <a:solidFill>
                <a:srgbClr val="4D4D4D"/>
              </a:solidFill>
              <a:round/>
            </a:ln>
            <a:effectLst/>
          </c:spPr>
          <c:marker>
            <c:symbol val="circle"/>
            <c:size val="5"/>
            <c:spPr>
              <a:pattFill prst="pct5">
                <a:fgClr>
                  <a:srgbClr val="4D4D4D"/>
                </a:fgClr>
                <a:bgClr>
                  <a:srgbClr val="4D4D4D"/>
                </a:bgClr>
              </a:pattFill>
              <a:ln w="9525">
                <a:solidFill>
                  <a:srgbClr val="4D4D4D"/>
                </a:solidFill>
              </a:ln>
              <a:effectLst/>
            </c:spPr>
          </c:marker>
          <c:cat>
            <c:numRef>
              <c:f>Outputs!$AA$24:$AF$24</c:f>
              <c:numCache>
                <c:formatCode>0""</c:formatCode>
                <c:ptCount val="6"/>
                <c:pt idx="0">
                  <c:v>2029</c:v>
                </c:pt>
                <c:pt idx="1">
                  <c:v>2030</c:v>
                </c:pt>
                <c:pt idx="2">
                  <c:v>2031</c:v>
                </c:pt>
                <c:pt idx="3">
                  <c:v>2032</c:v>
                </c:pt>
                <c:pt idx="4">
                  <c:v>2033</c:v>
                </c:pt>
                <c:pt idx="5">
                  <c:v>2034</c:v>
                </c:pt>
              </c:numCache>
            </c:numRef>
          </c:cat>
          <c:val>
            <c:numRef>
              <c:f>Outputs!$AA$31:$AF$31</c:f>
              <c:numCache>
                <c:formatCode>_(0.0\x_);\(0.0\x\);_("–"_);_(@_)</c:formatCode>
                <c:ptCount val="6"/>
                <c:pt idx="0">
                  <c:v>2.1015585792824489</c:v>
                </c:pt>
                <c:pt idx="1">
                  <c:v>3.616876219727799</c:v>
                </c:pt>
                <c:pt idx="2">
                  <c:v>4.719677706065645</c:v>
                </c:pt>
                <c:pt idx="3">
                  <c:v>6.0208491963564876</c:v>
                </c:pt>
                <c:pt idx="4">
                  <c:v>8.2589968082870229</c:v>
                </c:pt>
                <c:pt idx="5">
                  <c:v>11.209440386804047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95-9A44-A910-4FCEEB8C5F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1970591"/>
        <c:axId val="221950623"/>
      </c:lineChart>
      <c:catAx>
        <c:axId val="221970591"/>
        <c:scaling>
          <c:orientation val="minMax"/>
        </c:scaling>
        <c:delete val="0"/>
        <c:axPos val="b"/>
        <c:numFmt formatCode="0&quot;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221950623"/>
        <c:crosses val="autoZero"/>
        <c:auto val="1"/>
        <c:lblAlgn val="ctr"/>
        <c:lblOffset val="100"/>
        <c:noMultiLvlLbl val="0"/>
      </c:catAx>
      <c:valAx>
        <c:axId val="22195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DDDEE0"/>
              </a:solidFill>
              <a:prstDash val="dash"/>
              <a:round/>
              <a:headEnd type="none" w="med" len="med"/>
              <a:tailEnd type="none" w="med" len="med"/>
            </a:ln>
            <a:effectLst/>
          </c:spPr>
        </c:majorGridlines>
        <c:numFmt formatCode="_(0.0\x_);\(0.0\x\);_(&quot;–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22197059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7.8172895641565932E-2"/>
          <c:y val="4.8127187226596674E-2"/>
          <c:w val="0.39825292965139919"/>
          <c:h val="0.3670287307836520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noFill/>
      <a:round/>
    </a:ln>
    <a:effectLst/>
  </c:spPr>
  <c:txPr>
    <a:bodyPr/>
    <a:lstStyle/>
    <a:p>
      <a:pPr>
        <a:defRPr sz="900">
          <a:solidFill>
            <a:sysClr val="windowText" lastClr="000000"/>
          </a:solidFill>
          <a:latin typeface="Open Sans" panose="020B0606030504020204" pitchFamily="34" charset="0"/>
          <a:ea typeface="Open Sans" panose="020B0606030504020204" pitchFamily="34" charset="0"/>
          <a:cs typeface="Open Sans" panose="020B060603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821603743446144E-2"/>
          <c:y val="5.0925925925925923E-2"/>
          <c:w val="0.8287982259974066"/>
          <c:h val="0.91723799267061246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Outputs!$AB$47</c:f>
              <c:strCache>
                <c:ptCount val="1"/>
                <c:pt idx="0">
                  <c:v>IRR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val>
            <c:numRef>
              <c:f>Outputs!$AB$48:$AB$57</c:f>
              <c:numCache>
                <c:formatCode>_(#,##0.0%_);\(#,##0.0%\);_("–"_)_%;_(@_)_%</c:formatCode>
                <c:ptCount val="10"/>
                <c:pt idx="0">
                  <c:v>0</c:v>
                </c:pt>
                <c:pt idx="1">
                  <c:v>-0.66755822040140644</c:v>
                </c:pt>
                <c:pt idx="2">
                  <c:v>-0.17232964858412742</c:v>
                </c:pt>
                <c:pt idx="3">
                  <c:v>8.5578629374504098E-2</c:v>
                </c:pt>
                <c:pt idx="4">
                  <c:v>0.19806692004203796</c:v>
                </c:pt>
                <c:pt idx="5">
                  <c:v>0.26933178305625916</c:v>
                </c:pt>
                <c:pt idx="6">
                  <c:v>0.28736649155616767</c:v>
                </c:pt>
                <c:pt idx="7">
                  <c:v>0.27875568270683293</c:v>
                </c:pt>
                <c:pt idx="8">
                  <c:v>0.27113149762153621</c:v>
                </c:pt>
                <c:pt idx="9">
                  <c:v>0.25485952496528608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28-6A4D-A78B-018C060902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5248416"/>
        <c:axId val="2015266304"/>
      </c:barChart>
      <c:lineChart>
        <c:grouping val="standard"/>
        <c:varyColors val="0"/>
        <c:ser>
          <c:idx val="2"/>
          <c:order val="0"/>
          <c:tx>
            <c:strRef>
              <c:f>Outputs!$AC$47</c:f>
              <c:strCache>
                <c:ptCount val="1"/>
                <c:pt idx="0">
                  <c:v>Cash-on-Cash</c:v>
                </c:pt>
              </c:strCache>
            </c:strRef>
          </c:tx>
          <c:spPr>
            <a:ln w="28575" cap="rnd">
              <a:solidFill>
                <a:srgbClr val="40404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404040"/>
              </a:solidFill>
              <a:ln w="9525">
                <a:noFill/>
              </a:ln>
              <a:effectLst/>
            </c:spPr>
          </c:marker>
          <c:cat>
            <c:numRef>
              <c:f>Outputs!$AA$48:$AA$57</c:f>
              <c:numCache>
                <c:formatCode>0"-Year"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Outputs!$AC$48:$AC$57</c:f>
              <c:numCache>
                <c:formatCode>_(0.0\x_);\(0.0\x\);_("–"_);_(@_)</c:formatCode>
                <c:ptCount val="10"/>
                <c:pt idx="0">
                  <c:v>-0.31935964878024037</c:v>
                </c:pt>
                <c:pt idx="1">
                  <c:v>0.11018458306895122</c:v>
                </c:pt>
                <c:pt idx="2">
                  <c:v>0.56669209421138456</c:v>
                </c:pt>
                <c:pt idx="3">
                  <c:v>1.3891298615396341</c:v>
                </c:pt>
                <c:pt idx="4">
                  <c:v>2.4707876729019249</c:v>
                </c:pt>
                <c:pt idx="5">
                  <c:v>4.1881137552063628</c:v>
                </c:pt>
                <c:pt idx="6">
                  <c:v>5.8683566844625323</c:v>
                </c:pt>
                <c:pt idx="7">
                  <c:v>7.1595505619228046</c:v>
                </c:pt>
                <c:pt idx="8">
                  <c:v>8.6810182537254992</c:v>
                </c:pt>
                <c:pt idx="9">
                  <c:v>9.6997713835541486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28-6A4D-A78B-018C060902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7979856"/>
        <c:axId val="877984016"/>
      </c:lineChart>
      <c:catAx>
        <c:axId val="2015248416"/>
        <c:scaling>
          <c:orientation val="minMax"/>
        </c:scaling>
        <c:delete val="0"/>
        <c:axPos val="b"/>
        <c:numFmt formatCode="0&quot;-Year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2015266304"/>
        <c:crosses val="autoZero"/>
        <c:auto val="1"/>
        <c:lblAlgn val="ctr"/>
        <c:lblOffset val="100"/>
        <c:noMultiLvlLbl val="0"/>
      </c:catAx>
      <c:valAx>
        <c:axId val="2015266304"/>
        <c:scaling>
          <c:orientation val="minMax"/>
          <c:max val="0.35"/>
          <c:min val="-0.7"/>
        </c:scaling>
        <c:delete val="0"/>
        <c:axPos val="l"/>
        <c:majorGridlines>
          <c:spPr>
            <a:ln w="9525" cap="flat" cmpd="sng" algn="ctr">
              <a:solidFill>
                <a:srgbClr val="DDDEE0"/>
              </a:solidFill>
              <a:prstDash val="dash"/>
              <a:round/>
            </a:ln>
            <a:effectLst/>
          </c:spPr>
        </c:majorGridlines>
        <c:numFmt formatCode="_(#,##0%_);\(#,##0%\);_(&quot;–&quot;_)_%;_(@_)_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2015248416"/>
        <c:crosses val="autoZero"/>
        <c:crossBetween val="between"/>
        <c:majorUnit val="0.1"/>
      </c:valAx>
      <c:valAx>
        <c:axId val="877984016"/>
        <c:scaling>
          <c:orientation val="minMax"/>
        </c:scaling>
        <c:delete val="0"/>
        <c:axPos val="r"/>
        <c:numFmt formatCode="_(0.0\x_);\(0.0\x\);_(&quot;–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877979856"/>
        <c:crosses val="max"/>
        <c:crossBetween val="between"/>
      </c:valAx>
      <c:catAx>
        <c:axId val="877979856"/>
        <c:scaling>
          <c:orientation val="minMax"/>
        </c:scaling>
        <c:delete val="1"/>
        <c:axPos val="b"/>
        <c:numFmt formatCode="0&quot;-Year&quot;" sourceLinked="1"/>
        <c:majorTickMark val="out"/>
        <c:minorTickMark val="none"/>
        <c:tickLblPos val="nextTo"/>
        <c:crossAx val="8779840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201736417792647"/>
          <c:y val="4.4313518045938159E-2"/>
          <c:w val="0.20920451769304493"/>
          <c:h val="0.166924875638768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Open Sans" panose="020B0606030504020204" pitchFamily="34" charset="0"/>
          <a:ea typeface="Open Sans" panose="020B0606030504020204" pitchFamily="34" charset="0"/>
          <a:cs typeface="Open Sans" panose="020B0606030504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507930258717661"/>
          <c:y val="5.8581349206349206E-2"/>
          <c:w val="0.87301593550806145"/>
          <c:h val="0.755787167229096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Outputs!$AI$55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404040"/>
            </a:solidFill>
          </c:spPr>
          <c:invertIfNegative val="0"/>
          <c:cat>
            <c:strRef>
              <c:f>Outputs!$AE$56:$AE$61</c:f>
              <c:strCache>
                <c:ptCount val="6"/>
                <c:pt idx="0">
                  <c:v>Beginning 
Equity</c:v>
                </c:pt>
                <c:pt idx="1">
                  <c:v>Fees</c:v>
                </c:pt>
                <c:pt idx="2">
                  <c:v>EBITDA Growth</c:v>
                </c:pt>
                <c:pt idx="3">
                  <c:v>Multiple 
Expansion</c:v>
                </c:pt>
                <c:pt idx="4">
                  <c:v>Net Debt 
Paydown</c:v>
                </c:pt>
                <c:pt idx="5">
                  <c:v>Ending Equity</c:v>
                </c:pt>
              </c:strCache>
            </c:strRef>
          </c:cat>
          <c:val>
            <c:numRef>
              <c:f>Outputs!$AI$56:$AI$61</c:f>
              <c:numCache>
                <c:formatCode>_(#,##0_);\(#,##0\);_("–"_);_(@_)</c:formatCode>
                <c:ptCount val="6"/>
                <c:pt idx="0">
                  <c:v>4303.4798869542983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18023.463309807219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5C-5E41-A200-619F35C40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687343391"/>
        <c:axId val="1687339231"/>
      </c:barChart>
      <c:lineChart>
        <c:grouping val="standard"/>
        <c:varyColors val="0"/>
        <c:ser>
          <c:idx val="1"/>
          <c:order val="1"/>
          <c:tx>
            <c:strRef>
              <c:f>Outputs!$AJ$55</c:f>
              <c:strCache>
                <c:ptCount val="1"/>
                <c:pt idx="0">
                  <c:v>Before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cat>
            <c:strRef>
              <c:f>Outputs!$AE$56:$AE$61</c:f>
              <c:strCache>
                <c:ptCount val="6"/>
                <c:pt idx="0">
                  <c:v>Beginning 
Equity</c:v>
                </c:pt>
                <c:pt idx="1">
                  <c:v>Fees</c:v>
                </c:pt>
                <c:pt idx="2">
                  <c:v>EBITDA Growth</c:v>
                </c:pt>
                <c:pt idx="3">
                  <c:v>Multiple 
Expansion</c:v>
                </c:pt>
                <c:pt idx="4">
                  <c:v>Net Debt 
Paydown</c:v>
                </c:pt>
                <c:pt idx="5">
                  <c:v>Ending Equity</c:v>
                </c:pt>
              </c:strCache>
            </c:strRef>
          </c:cat>
          <c:val>
            <c:numRef>
              <c:f>Outputs!$AJ$56:$AJ$61</c:f>
              <c:numCache>
                <c:formatCode>_(#,##0_);\(#,##0\);_("–"_);_(@_)</c:formatCode>
                <c:ptCount val="6"/>
                <c:pt idx="0">
                  <c:v>#N/A</c:v>
                </c:pt>
                <c:pt idx="1">
                  <c:v>4303.4798869542983</c:v>
                </c:pt>
                <c:pt idx="2">
                  <c:v>4258.4798869542992</c:v>
                </c:pt>
                <c:pt idx="3">
                  <c:v>17796.864177824627</c:v>
                </c:pt>
                <c:pt idx="4">
                  <c:v>17796.864177824627</c:v>
                </c:pt>
                <c:pt idx="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5C-5E41-A200-619F35C40F8E}"/>
            </c:ext>
          </c:extLst>
        </c:ser>
        <c:ser>
          <c:idx val="2"/>
          <c:order val="2"/>
          <c:tx>
            <c:strRef>
              <c:f>Outputs!$AK$55</c:f>
              <c:strCache>
                <c:ptCount val="1"/>
                <c:pt idx="0">
                  <c:v>After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cat>
            <c:strRef>
              <c:f>Outputs!$AE$56:$AE$61</c:f>
              <c:strCache>
                <c:ptCount val="6"/>
                <c:pt idx="0">
                  <c:v>Beginning 
Equity</c:v>
                </c:pt>
                <c:pt idx="1">
                  <c:v>Fees</c:v>
                </c:pt>
                <c:pt idx="2">
                  <c:v>EBITDA Growth</c:v>
                </c:pt>
                <c:pt idx="3">
                  <c:v>Multiple 
Expansion</c:v>
                </c:pt>
                <c:pt idx="4">
                  <c:v>Net Debt 
Paydown</c:v>
                </c:pt>
                <c:pt idx="5">
                  <c:v>Ending Equity</c:v>
                </c:pt>
              </c:strCache>
            </c:strRef>
          </c:cat>
          <c:val>
            <c:numRef>
              <c:f>Outputs!$AK$56:$AK$61</c:f>
              <c:numCache>
                <c:formatCode>_(#,##0_);\(#,##0\);_("–"_);_(@_)</c:formatCode>
                <c:ptCount val="6"/>
                <c:pt idx="0">
                  <c:v>#N/A</c:v>
                </c:pt>
                <c:pt idx="1">
                  <c:v>4258.4798869542983</c:v>
                </c:pt>
                <c:pt idx="2">
                  <c:v>17796.864177824627</c:v>
                </c:pt>
                <c:pt idx="3">
                  <c:v>17796.864177824627</c:v>
                </c:pt>
                <c:pt idx="4">
                  <c:v>18023.463309807219</c:v>
                </c:pt>
                <c:pt idx="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5C-5E41-A200-619F35C40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60"/>
          <c:upBars>
            <c:spPr>
              <a:solidFill>
                <a:srgbClr val="005AA0"/>
              </a:solidFill>
              <a:ln w="9525" cap="flat" cmpd="sng" algn="ctr">
                <a:noFill/>
                <a:prstDash val="solid"/>
                <a:round/>
              </a:ln>
              <a:effectLst/>
              <a:extLst>
                <a:ext uri="{91240B29-F687-4F45-9708-019B960494DF}">
                  <a14:hiddenLine xmlns:a14="http://schemas.microsoft.com/office/drawing/2010/main" w="9525" cap="flat" cmpd="sng" algn="ctr">
                    <a:solidFill>
                      <a:srgbClr val="57595D">
                        <a:shade val="95000"/>
                        <a:satMod val="105000"/>
                      </a:srgbClr>
                    </a:solidFill>
                    <a:prstDash val="solid"/>
                    <a:round/>
                  </a14:hiddenLine>
                </a:ext>
              </a:extLst>
            </c:spPr>
          </c:upBars>
          <c:downBars>
            <c:spPr>
              <a:solidFill>
                <a:srgbClr val="B0B0B0"/>
              </a:solidFill>
              <a:ln w="9525" cap="flat" cmpd="sng" algn="ctr">
                <a:noFill/>
                <a:prstDash val="solid"/>
                <a:round/>
              </a:ln>
              <a:effectLst/>
              <a:extLst>
                <a:ext uri="{91240B29-F687-4F45-9708-019B960494DF}">
                  <a14:hiddenLine xmlns:a14="http://schemas.microsoft.com/office/drawing/2010/main" w="9525" cap="flat" cmpd="sng" algn="ctr">
                    <a:solidFill>
                      <a:srgbClr val="57595D">
                        <a:shade val="95000"/>
                        <a:satMod val="105000"/>
                      </a:srgbClr>
                    </a:solidFill>
                    <a:prstDash val="solid"/>
                    <a:round/>
                  </a14:hiddenLine>
                </a:ext>
              </a:extLst>
            </c:spPr>
          </c:downBars>
        </c:upDownBars>
        <c:marker val="1"/>
        <c:smooth val="0"/>
        <c:axId val="1687343391"/>
        <c:axId val="1687339231"/>
      </c:lineChart>
      <c:lineChart>
        <c:grouping val="standard"/>
        <c:varyColors val="0"/>
        <c:ser>
          <c:idx val="3"/>
          <c:order val="3"/>
          <c:tx>
            <c:strRef>
              <c:f>Outputs!$AN$55</c:f>
              <c:strCache>
                <c:ptCount val="1"/>
                <c:pt idx="0">
                  <c:v>Middle Y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295C-5E41-A200-619F35C40F8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295C-5E41-A200-619F35C40F8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295C-5E41-A200-619F35C40F8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295C-5E41-A200-619F35C40F8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295C-5E41-A200-619F35C40F8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295C-5E41-A200-619F35C40F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cat>
            <c:strRef>
              <c:f>Outputs!$AE$56:$AE$61</c:f>
              <c:strCache>
                <c:ptCount val="6"/>
                <c:pt idx="0">
                  <c:v>Beginning 
Equity</c:v>
                </c:pt>
                <c:pt idx="1">
                  <c:v>Fees</c:v>
                </c:pt>
                <c:pt idx="2">
                  <c:v>EBITDA Growth</c:v>
                </c:pt>
                <c:pt idx="3">
                  <c:v>Multiple 
Expansion</c:v>
                </c:pt>
                <c:pt idx="4">
                  <c:v>Net Debt 
Paydown</c:v>
                </c:pt>
                <c:pt idx="5">
                  <c:v>Ending Equity</c:v>
                </c:pt>
              </c:strCache>
            </c:strRef>
          </c:cat>
          <c:val>
            <c:numRef>
              <c:f>Outputs!$AN$56:$AN$61</c:f>
              <c:numCache>
                <c:formatCode>_(#,##0_);\(#,##0\);_("–"_);_(@_)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Outputs!$AQ$56:$AQ$61</c15:f>
                <c15:dlblRangeCache>
                  <c:ptCount val="6"/>
                  <c:pt idx="0">
                    <c:v> 4.303 </c:v>
                  </c:pt>
                  <c:pt idx="1">
                    <c:v>(45)</c:v>
                  </c:pt>
                  <c:pt idx="2">
                    <c:v> 13.538 </c:v>
                  </c:pt>
                  <c:pt idx="3">
                    <c:v> – </c:v>
                  </c:pt>
                  <c:pt idx="4">
                    <c:v> 227 </c:v>
                  </c:pt>
                  <c:pt idx="5">
                    <c:v> 18.023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9-295C-5E41-A200-619F35C40F8E}"/>
            </c:ext>
          </c:extLst>
        </c:ser>
        <c:ser>
          <c:idx val="4"/>
          <c:order val="4"/>
          <c:tx>
            <c:strRef>
              <c:f>Outputs!$AO$55</c:f>
              <c:strCache>
                <c:ptCount val="1"/>
                <c:pt idx="0">
                  <c:v>Above Y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34D0691D-B961-C440-9247-F42F352789FE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295C-5E41-A200-619F35C40F8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295C-5E41-A200-619F35C40F8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F91F120-6917-DE49-A354-85B7A3620C77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295C-5E41-A200-619F35C40F8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295C-5E41-A200-619F35C40F8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63F1E93-1D1B-8741-AEE7-5C92B31CBA94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295C-5E41-A200-619F35C40F8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03D7E3C-DC01-164E-BFC4-AC2E1E3346CB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295C-5E41-A200-619F35C40F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ysClr val="windowText" lastClr="000000"/>
                    </a:solidFill>
                    <a:latin typeface="Open Sans" panose="020B0606030504020204" pitchFamily="34" charset="0"/>
                    <a:ea typeface="Open Sans" panose="020B0606030504020204" pitchFamily="34" charset="0"/>
                    <a:cs typeface="Open Sans" panose="020B0606030504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cat>
            <c:strRef>
              <c:f>Outputs!$AE$56:$AE$61</c:f>
              <c:strCache>
                <c:ptCount val="6"/>
                <c:pt idx="0">
                  <c:v>Beginning 
Equity</c:v>
                </c:pt>
                <c:pt idx="1">
                  <c:v>Fees</c:v>
                </c:pt>
                <c:pt idx="2">
                  <c:v>EBITDA Growth</c:v>
                </c:pt>
                <c:pt idx="3">
                  <c:v>Multiple 
Expansion</c:v>
                </c:pt>
                <c:pt idx="4">
                  <c:v>Net Debt 
Paydown</c:v>
                </c:pt>
                <c:pt idx="5">
                  <c:v>Ending Equity</c:v>
                </c:pt>
              </c:strCache>
            </c:strRef>
          </c:cat>
          <c:val>
            <c:numRef>
              <c:f>Outputs!$AO$56:$AO$61</c:f>
              <c:numCache>
                <c:formatCode>_(#,##0_);\(#,##0\);_("–"_);_(@_)</c:formatCode>
                <c:ptCount val="6"/>
                <c:pt idx="0">
                  <c:v>4303.4798869542983</c:v>
                </c:pt>
                <c:pt idx="1">
                  <c:v>#N/A</c:v>
                </c:pt>
                <c:pt idx="2">
                  <c:v>17796.864177824627</c:v>
                </c:pt>
                <c:pt idx="3">
                  <c:v>#N/A</c:v>
                </c:pt>
                <c:pt idx="4">
                  <c:v>18023.463309807219</c:v>
                </c:pt>
                <c:pt idx="5">
                  <c:v>18023.463309807219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Outputs!$AQ$56:$AQ$61</c15:f>
                <c15:dlblRangeCache>
                  <c:ptCount val="6"/>
                  <c:pt idx="0">
                    <c:v> 4.303 </c:v>
                  </c:pt>
                  <c:pt idx="1">
                    <c:v>(45)</c:v>
                  </c:pt>
                  <c:pt idx="2">
                    <c:v> 13.538 </c:v>
                  </c:pt>
                  <c:pt idx="3">
                    <c:v> – </c:v>
                  </c:pt>
                  <c:pt idx="4">
                    <c:v> 227 </c:v>
                  </c:pt>
                  <c:pt idx="5">
                    <c:v> 18.023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0-295C-5E41-A200-619F35C40F8E}"/>
            </c:ext>
          </c:extLst>
        </c:ser>
        <c:ser>
          <c:idx val="5"/>
          <c:order val="5"/>
          <c:tx>
            <c:strRef>
              <c:f>Outputs!$AP$55</c:f>
              <c:strCache>
                <c:ptCount val="1"/>
                <c:pt idx="0">
                  <c:v>Below Y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endParaRPr lang="en-GB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295C-5E41-A200-619F35C40F8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1A4F288-9864-7F43-8D99-7B4D967CED55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295C-5E41-A200-619F35C40F8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GB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295C-5E41-A200-619F35C40F8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GB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295C-5E41-A200-619F35C40F8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GB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295C-5E41-A200-619F35C40F8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GB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295C-5E41-A200-619F35C40F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ysClr val="windowText" lastClr="000000"/>
                    </a:solidFill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cat>
            <c:strRef>
              <c:f>Outputs!$AE$56:$AE$61</c:f>
              <c:strCache>
                <c:ptCount val="6"/>
                <c:pt idx="0">
                  <c:v>Beginning 
Equity</c:v>
                </c:pt>
                <c:pt idx="1">
                  <c:v>Fees</c:v>
                </c:pt>
                <c:pt idx="2">
                  <c:v>EBITDA Growth</c:v>
                </c:pt>
                <c:pt idx="3">
                  <c:v>Multiple 
Expansion</c:v>
                </c:pt>
                <c:pt idx="4">
                  <c:v>Net Debt 
Paydown</c:v>
                </c:pt>
                <c:pt idx="5">
                  <c:v>Ending Equity</c:v>
                </c:pt>
              </c:strCache>
            </c:strRef>
          </c:cat>
          <c:val>
            <c:numRef>
              <c:f>Outputs!$AP$56:$AP$61</c:f>
              <c:numCache>
                <c:formatCode>_(#,##0_);\(#,##0\);_("–"_);_(@_)</c:formatCode>
                <c:ptCount val="6"/>
                <c:pt idx="0">
                  <c:v>#N/A</c:v>
                </c:pt>
                <c:pt idx="1">
                  <c:v>4258.4798869542983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Outputs!$AQ$56:$AQ$61</c15:f>
                <c15:dlblRangeCache>
                  <c:ptCount val="6"/>
                  <c:pt idx="0">
                    <c:v> 4.303 </c:v>
                  </c:pt>
                  <c:pt idx="1">
                    <c:v>(45)</c:v>
                  </c:pt>
                  <c:pt idx="2">
                    <c:v> 13.538 </c:v>
                  </c:pt>
                  <c:pt idx="3">
                    <c:v> – </c:v>
                  </c:pt>
                  <c:pt idx="4">
                    <c:v> 227 </c:v>
                  </c:pt>
                  <c:pt idx="5">
                    <c:v> 18.023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7-295C-5E41-A200-619F35C40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7340063"/>
        <c:axId val="1687341311"/>
      </c:lineChart>
      <c:scatterChart>
        <c:scatterStyle val="lineMarker"/>
        <c:varyColors val="0"/>
        <c:ser>
          <c:idx val="6"/>
          <c:order val="6"/>
          <c:tx>
            <c:strRef>
              <c:f>Outputs!$AM$55</c:f>
              <c:strCache>
                <c:ptCount val="1"/>
                <c:pt idx="0">
                  <c:v>Elev Y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xVal>
            <c:numRef>
              <c:f>Outputs!$AL$56:$AL$61</c:f>
              <c:numCache>
                <c:formatCode>_(#,##0_);\(#,##0\);_("–"_);_(@_)</c:formatCode>
                <c:ptCount val="6"/>
                <c:pt idx="0">
                  <c:v>1.5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  <c:pt idx="4">
                  <c:v>5.5</c:v>
                </c:pt>
                <c:pt idx="5">
                  <c:v>#N/A</c:v>
                </c:pt>
              </c:numCache>
            </c:numRef>
          </c:xVal>
          <c:yVal>
            <c:numRef>
              <c:f>Outputs!$AM$56:$AM$61</c:f>
              <c:numCache>
                <c:formatCode>_(#,##0_);\(#,##0\);_("–"_);_(@_)</c:formatCode>
                <c:ptCount val="6"/>
                <c:pt idx="0">
                  <c:v>4303.4798869542983</c:v>
                </c:pt>
                <c:pt idx="1">
                  <c:v>4258.4798869542983</c:v>
                </c:pt>
                <c:pt idx="2">
                  <c:v>17796.864177824627</c:v>
                </c:pt>
                <c:pt idx="3">
                  <c:v>17796.864177824627</c:v>
                </c:pt>
                <c:pt idx="4">
                  <c:v>18023.463309807219</c:v>
                </c:pt>
                <c:pt idx="5">
                  <c:v>18023.463309807219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295C-5E41-A200-619F35C40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7340063"/>
        <c:axId val="1687341311"/>
      </c:scatterChart>
      <c:catAx>
        <c:axId val="1687343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>
            <a:solidFill>
              <a:srgbClr val="E5E6E7"/>
            </a:solidFill>
          </a:ln>
        </c:spPr>
        <c:txPr>
          <a:bodyPr/>
          <a:lstStyle/>
          <a:p>
            <a:pPr>
              <a:defRPr sz="900">
                <a:solidFill>
                  <a:sysClr val="windowText" lastClr="000000"/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1687339231"/>
        <c:crosses val="autoZero"/>
        <c:auto val="1"/>
        <c:lblAlgn val="ctr"/>
        <c:lblOffset val="100"/>
        <c:noMultiLvlLbl val="0"/>
      </c:catAx>
      <c:valAx>
        <c:axId val="1687339231"/>
        <c:scaling>
          <c:orientation val="minMax"/>
        </c:scaling>
        <c:delete val="0"/>
        <c:axPos val="l"/>
        <c:majorGridlines>
          <c:spPr>
            <a:ln>
              <a:solidFill>
                <a:srgbClr val="DDDEE0"/>
              </a:solidFill>
              <a:prstDash val="dash"/>
            </a:ln>
          </c:spPr>
        </c:majorGridlines>
        <c:numFmt formatCode="_(#,##0_);\(#,##0\);_(&quot;–&quot;_);_(@_)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>
                <a:solidFill>
                  <a:sysClr val="windowText" lastClr="000000"/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1687343391"/>
        <c:crosses val="autoZero"/>
        <c:crossBetween val="between"/>
      </c:valAx>
      <c:valAx>
        <c:axId val="1687341311"/>
        <c:scaling>
          <c:orientation val="minMax"/>
        </c:scaling>
        <c:delete val="1"/>
        <c:axPos val="r"/>
        <c:numFmt formatCode="_(#,##0_);\(#,##0\);_(&quot;–&quot;_);_(@_)" sourceLinked="1"/>
        <c:majorTickMark val="out"/>
        <c:minorTickMark val="none"/>
        <c:tickLblPos val="nextTo"/>
        <c:crossAx val="1687340063"/>
        <c:crosses val="max"/>
        <c:crossBetween val="between"/>
      </c:valAx>
      <c:catAx>
        <c:axId val="168734006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87341311"/>
        <c:crosses val="autoZero"/>
        <c:auto val="1"/>
        <c:lblAlgn val="ctr"/>
        <c:lblOffset val="100"/>
        <c:noMultiLvlLbl val="0"/>
      </c:catAx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rgbClr val="57595D">
              <a:tint val="75000"/>
              <a:shade val="95000"/>
              <a:satMod val="105000"/>
            </a:srgb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Drop" dropStyle="combo" dx="22" fmlaLink="$D$19" fmlaRange="$S$20:$S$21" noThreeD="1" sel="2" val="0"/>
</file>

<file path=xl/ctrlProps/ctrlProp2.xml><?xml version="1.0" encoding="utf-8"?>
<formControlPr xmlns="http://schemas.microsoft.com/office/spreadsheetml/2009/9/main" objectType="CheckBox" checked="Checked" fmlaLink="$AG$49" lockText="1" noThreeD="1"/>
</file>

<file path=xl/ctrlProps/ctrlProp3.xml><?xml version="1.0" encoding="utf-8"?>
<formControlPr xmlns="http://schemas.microsoft.com/office/spreadsheetml/2009/9/main" objectType="Drop" dropStyle="combo" dx="48" fmlaLink="AG52" noThreeD="1" sel="2" val="0">
  <itemLst>
    <item val="Middle"/>
    <item val="Above / below"/>
    <item val="Above"/>
    <item val="None"/>
  </itemLst>
</formControlPr>
</file>

<file path=xl/ctrlProps/ctrlProp4.xml><?xml version="1.0" encoding="utf-8"?>
<formControlPr xmlns="http://schemas.microsoft.com/office/spreadsheetml/2009/9/main" objectType="Drop" dropStyle="combo" dx="22" fmlaLink="$E$7" fmlaRange="$B$11:$B$13" noThreeD="1" sel="2" val="0"/>
</file>

<file path=xl/ctrlProps/ctrlProp5.xml><?xml version="1.0" encoding="utf-8"?>
<formControlPr xmlns="http://schemas.microsoft.com/office/spreadsheetml/2009/9/main" objectType="Drop" dropStyle="combo" dx="22" fmlaLink="$E$7" fmlaRange="$B$11:$B$13" noThreeD="1" sel="2" val="0"/>
</file>

<file path=xl/ctrlProps/ctrlProp6.xml><?xml version="1.0" encoding="utf-8"?>
<formControlPr xmlns="http://schemas.microsoft.com/office/spreadsheetml/2009/9/main" objectType="Drop" dropStyle="combo" dx="22" fmlaLink="$E$7" fmlaRange="$B$11:$B$13" noThreeD="1" sel="2" val="0"/>
</file>

<file path=xl/ctrlProps/ctrlProp7.xml><?xml version="1.0" encoding="utf-8"?>
<formControlPr xmlns="http://schemas.microsoft.com/office/spreadsheetml/2009/9/main" objectType="Drop" dropStyle="combo" dx="22" fmlaLink="$E$7" fmlaRange="$B$11:$B$13" noThreeD="1" sel="2" val="0"/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18</xdr:row>
          <xdr:rowOff>0</xdr:rowOff>
        </xdr:from>
        <xdr:to>
          <xdr:col>4</xdr:col>
          <xdr:colOff>0</xdr:colOff>
          <xdr:row>19</xdr:row>
          <xdr:rowOff>0</xdr:rowOff>
        </xdr:to>
        <xdr:sp macro="" textlink="">
          <xdr:nvSpPr>
            <xdr:cNvPr id="1026" name="Drop Dow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241300</xdr:colOff>
      <xdr:row>24</xdr:row>
      <xdr:rowOff>169333</xdr:rowOff>
    </xdr:from>
    <xdr:to>
      <xdr:col>9</xdr:col>
      <xdr:colOff>10160</xdr:colOff>
      <xdr:row>38</xdr:row>
      <xdr:rowOff>62653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B7C8D5-E155-914B-8733-F1CFB4FC72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482600</xdr:colOff>
      <xdr:row>24</xdr:row>
      <xdr:rowOff>169333</xdr:rowOff>
    </xdr:from>
    <xdr:to>
      <xdr:col>16</xdr:col>
      <xdr:colOff>797560</xdr:colOff>
      <xdr:row>38</xdr:row>
      <xdr:rowOff>62653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B5CD791-FD30-1B44-B210-E060AAA28D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38100</xdr:colOff>
      <xdr:row>45</xdr:row>
      <xdr:rowOff>101598</xdr:rowOff>
    </xdr:from>
    <xdr:to>
      <xdr:col>17</xdr:col>
      <xdr:colOff>48260</xdr:colOff>
      <xdr:row>58</xdr:row>
      <xdr:rowOff>147318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65B2E6C-7D0C-7640-91A1-711682A8F6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1</xdr:col>
      <xdr:colOff>254000</xdr:colOff>
      <xdr:row>45</xdr:row>
      <xdr:rowOff>139700</xdr:rowOff>
    </xdr:from>
    <xdr:to>
      <xdr:col>9</xdr:col>
      <xdr:colOff>22860</xdr:colOff>
      <xdr:row>59</xdr:row>
      <xdr:rowOff>7620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B9AEADA-A326-9340-B0E9-B21F7DC85F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32</xdr:col>
          <xdr:colOff>0</xdr:colOff>
          <xdr:row>48</xdr:row>
          <xdr:rowOff>0</xdr:rowOff>
        </xdr:from>
        <xdr:to>
          <xdr:col>33</xdr:col>
          <xdr:colOff>495300</xdr:colOff>
          <xdr:row>49</xdr:row>
          <xdr:rowOff>101600</xdr:rowOff>
        </xdr:to>
        <xdr:sp macro="" textlink="">
          <xdr:nvSpPr>
            <xdr:cNvPr id="40961" name="Check Box 1" hidden="1">
              <a:extLst>
                <a:ext uri="{63B3BB69-23CF-44E3-9099-C40C66FF867C}">
                  <a14:compatExt spid="_x0000_s40961"/>
                </a:ext>
                <a:ext uri="{FF2B5EF4-FFF2-40B4-BE49-F238E27FC236}">
                  <a16:creationId xmlns:a16="http://schemas.microsoft.com/office/drawing/2014/main" id="{00000000-0008-0000-0100-000001A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FFFFFF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First column is subtotal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32</xdr:col>
          <xdr:colOff>12700</xdr:colOff>
          <xdr:row>51</xdr:row>
          <xdr:rowOff>12700</xdr:rowOff>
        </xdr:from>
        <xdr:to>
          <xdr:col>33</xdr:col>
          <xdr:colOff>584200</xdr:colOff>
          <xdr:row>52</xdr:row>
          <xdr:rowOff>50800</xdr:rowOff>
        </xdr:to>
        <xdr:sp macro="" textlink="">
          <xdr:nvSpPr>
            <xdr:cNvPr id="40962" name="Drop Down 2" hidden="1">
              <a:extLst>
                <a:ext uri="{63B3BB69-23CF-44E3-9099-C40C66FF867C}">
                  <a14:compatExt spid="_x0000_s40962"/>
                </a:ext>
                <a:ext uri="{FF2B5EF4-FFF2-40B4-BE49-F238E27FC236}">
                  <a16:creationId xmlns:a16="http://schemas.microsoft.com/office/drawing/2014/main" id="{00000000-0008-0000-0100-000002A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25400</xdr:colOff>
          <xdr:row>6</xdr:row>
          <xdr:rowOff>0</xdr:rowOff>
        </xdr:from>
        <xdr:to>
          <xdr:col>4</xdr:col>
          <xdr:colOff>190500</xdr:colOff>
          <xdr:row>6</xdr:row>
          <xdr:rowOff>177800</xdr:rowOff>
        </xdr:to>
        <xdr:sp macro="" textlink="">
          <xdr:nvSpPr>
            <xdr:cNvPr id="10241" name="Drop Down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300-00000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1130300</xdr:colOff>
          <xdr:row>43</xdr:row>
          <xdr:rowOff>0</xdr:rowOff>
        </xdr:from>
        <xdr:to>
          <xdr:col>4</xdr:col>
          <xdr:colOff>190500</xdr:colOff>
          <xdr:row>44</xdr:row>
          <xdr:rowOff>0</xdr:rowOff>
        </xdr:to>
        <xdr:sp macro="" textlink="">
          <xdr:nvSpPr>
            <xdr:cNvPr id="10242" name="Drop Down 2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00000000-0008-0000-0300-00000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12700</xdr:colOff>
          <xdr:row>62</xdr:row>
          <xdr:rowOff>0</xdr:rowOff>
        </xdr:from>
        <xdr:to>
          <xdr:col>4</xdr:col>
          <xdr:colOff>190500</xdr:colOff>
          <xdr:row>63</xdr:row>
          <xdr:rowOff>0</xdr:rowOff>
        </xdr:to>
        <xdr:sp macro="" textlink="">
          <xdr:nvSpPr>
            <xdr:cNvPr id="10243" name="Drop Down 3" hidden="1">
              <a:extLst>
                <a:ext uri="{63B3BB69-23CF-44E3-9099-C40C66FF867C}">
                  <a14:compatExt spid="_x0000_s10243"/>
                </a:ext>
                <a:ext uri="{FF2B5EF4-FFF2-40B4-BE49-F238E27FC236}">
                  <a16:creationId xmlns:a16="http://schemas.microsoft.com/office/drawing/2014/main" id="{00000000-0008-0000-0300-000003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12700</xdr:colOff>
          <xdr:row>79</xdr:row>
          <xdr:rowOff>0</xdr:rowOff>
        </xdr:from>
        <xdr:to>
          <xdr:col>4</xdr:col>
          <xdr:colOff>190500</xdr:colOff>
          <xdr:row>80</xdr:row>
          <xdr:rowOff>0</xdr:rowOff>
        </xdr:to>
        <xdr:sp macro="" textlink="">
          <xdr:nvSpPr>
            <xdr:cNvPr id="10245" name="Drop Down 5" hidden="1">
              <a:extLst>
                <a:ext uri="{63B3BB69-23CF-44E3-9099-C40C66FF867C}">
                  <a14:compatExt spid="_x0000_s10245"/>
                </a:ext>
                <a:ext uri="{FF2B5EF4-FFF2-40B4-BE49-F238E27FC236}">
                  <a16:creationId xmlns:a16="http://schemas.microsoft.com/office/drawing/2014/main" id="{00000000-0008-0000-0300-000005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CFI">
  <a:themeElements>
    <a:clrScheme name="CFI Theme">
      <a:dk1>
        <a:srgbClr val="57595D"/>
      </a:dk1>
      <a:lt1>
        <a:sysClr val="window" lastClr="FFFFFF"/>
      </a:lt1>
      <a:dk2>
        <a:srgbClr val="132E57"/>
      </a:dk2>
      <a:lt2>
        <a:srgbClr val="3271D2"/>
      </a:lt2>
      <a:accent1>
        <a:srgbClr val="25A2AF"/>
      </a:accent1>
      <a:accent2>
        <a:srgbClr val="1F995B"/>
      </a:accent2>
      <a:accent3>
        <a:srgbClr val="ED942D"/>
      </a:accent3>
      <a:accent4>
        <a:srgbClr val="FA621C"/>
      </a:accent4>
      <a:accent5>
        <a:srgbClr val="B7276E"/>
      </a:accent5>
      <a:accent6>
        <a:srgbClr val="5A1973"/>
      </a:accent6>
      <a:hlink>
        <a:srgbClr val="E6E7E8"/>
      </a:hlink>
      <a:folHlink>
        <a:srgbClr val="676767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410000" mc:Ignorable="a14" a14:legacySpreadsheetColorIndex="65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wrap="none" lIns="18288" tIns="0" rIns="0" bIns="0" upright="1">
        <a:spAutoFit/>
      </a:bodyPr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wrap="none" lIns="18288" tIns="0" rIns="0" bIns="0" upright="1">
        <a:spAutoFit/>
      </a:bodyPr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vmlDrawing" Target="../drawings/vmlDrawing3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7.xml"/><Relationship Id="rId3" Type="http://schemas.openxmlformats.org/officeDocument/2006/relationships/vmlDrawing" Target="../drawings/vmlDrawing5.vml"/><Relationship Id="rId7" Type="http://schemas.openxmlformats.org/officeDocument/2006/relationships/ctrlProp" Target="../ctrlProps/ctrlProp6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5.xml"/><Relationship Id="rId5" Type="http://schemas.openxmlformats.org/officeDocument/2006/relationships/ctrlProp" Target="../ctrlProps/ctrlProp4.xml"/><Relationship Id="rId4" Type="http://schemas.openxmlformats.org/officeDocument/2006/relationships/vmlDrawing" Target="../drawings/vmlDrawing6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EB11B-AE8B-49E8-9529-5D3FC2452650}">
  <sheetPr codeName="Sheet1">
    <pageSetUpPr fitToPage="1"/>
  </sheetPr>
  <dimension ref="A1:T28"/>
  <sheetViews>
    <sheetView showGridLines="0" tabSelected="1" zoomScaleNormal="100" zoomScaleSheetLayoutView="90" workbookViewId="0"/>
  </sheetViews>
  <sheetFormatPr baseColWidth="10" defaultColWidth="9.1640625" defaultRowHeight="19.5" customHeight="1" outlineLevelCol="1"/>
  <cols>
    <col min="1" max="1" width="9.1640625" style="487" customWidth="1"/>
    <col min="2" max="15" width="10.6640625" style="487" customWidth="1"/>
    <col min="16" max="16" width="4.83203125" style="487" customWidth="1"/>
    <col min="17" max="17" width="11" style="487" customWidth="1"/>
    <col min="18" max="18" width="9.1640625" style="487"/>
    <col min="19" max="19" width="11.5" style="487" hidden="1" customWidth="1" outlineLevel="1"/>
    <col min="20" max="20" width="9.1640625" style="487" collapsed="1"/>
    <col min="21" max="16384" width="9.1640625" style="487"/>
  </cols>
  <sheetData>
    <row r="1" spans="1:18" s="638" customFormat="1" ht="35">
      <c r="B1" s="522" t="s">
        <v>421</v>
      </c>
      <c r="C1" s="522"/>
      <c r="D1" s="522"/>
      <c r="E1" s="522"/>
      <c r="F1" s="522"/>
      <c r="O1" s="639"/>
    </row>
    <row r="2" spans="1:18" ht="19.5" customHeight="1">
      <c r="B2" s="488"/>
      <c r="C2" s="488"/>
      <c r="D2" s="488"/>
      <c r="E2" s="488"/>
      <c r="F2" s="488"/>
      <c r="J2" s="489"/>
      <c r="K2" s="489"/>
      <c r="L2" s="489"/>
      <c r="M2" s="489"/>
      <c r="N2" s="489"/>
      <c r="O2" s="489"/>
    </row>
    <row r="3" spans="1:18" ht="19.5" customHeight="1">
      <c r="B3" s="649" t="s">
        <v>40</v>
      </c>
      <c r="C3" s="640"/>
      <c r="D3" s="640"/>
      <c r="E3" s="640"/>
      <c r="F3" s="640"/>
      <c r="G3" s="641"/>
      <c r="H3" s="641"/>
      <c r="I3" s="641"/>
      <c r="J3" s="642"/>
      <c r="K3" s="642"/>
      <c r="L3" s="642"/>
      <c r="M3" s="642"/>
      <c r="N3" s="642"/>
      <c r="O3" s="642"/>
      <c r="P3" s="641"/>
      <c r="Q3" s="641"/>
    </row>
    <row r="4" spans="1:18" ht="19.5" customHeight="1">
      <c r="G4" s="491"/>
      <c r="J4" s="489"/>
      <c r="K4" s="489"/>
      <c r="L4" s="489"/>
      <c r="M4" s="489"/>
      <c r="N4" s="489"/>
      <c r="O4" s="489"/>
    </row>
    <row r="5" spans="1:18" ht="19.5" customHeight="1">
      <c r="B5" s="309" t="str" cm="1">
        <f t="array" aca="1" ref="B5" ca="1">RIGHT(CELL("filename",A1),LEN(CELL("filename",A1))-FIND("]",CELL("filename",A1)))</f>
        <v>Cover</v>
      </c>
      <c r="C5" s="121"/>
      <c r="D5" s="121"/>
      <c r="E5" s="504"/>
      <c r="F5" s="121"/>
      <c r="J5" s="489"/>
      <c r="K5" s="489"/>
      <c r="L5" s="489"/>
      <c r="M5" s="489"/>
      <c r="N5" s="489"/>
      <c r="O5" s="489"/>
      <c r="R5" s="492"/>
    </row>
    <row r="6" spans="1:18" ht="19.5" customHeight="1">
      <c r="B6" s="309" t="str" cm="1">
        <f t="array" aca="1" ref="B6" ca="1">RIGHT(CELL("filename",Outputs!A1),LEN(CELL("filename",Outputs!A1))-FIND("]",CELL("filename",Outputs!A1)))</f>
        <v>Outputs</v>
      </c>
      <c r="C6" s="121"/>
      <c r="D6" s="121"/>
      <c r="E6" s="504"/>
      <c r="F6" s="121"/>
      <c r="J6" s="489"/>
      <c r="K6" s="489"/>
      <c r="L6" s="489"/>
      <c r="M6" s="489"/>
      <c r="N6" s="489"/>
      <c r="O6" s="489"/>
      <c r="Q6" s="493"/>
    </row>
    <row r="7" spans="1:18" ht="19.5" customHeight="1">
      <c r="B7" s="309" t="str" cm="1">
        <f t="array" aca="1" ref="B7" ca="1">RIGHT(CELL("filename",'Transaction Assumptions'!A2),LEN(CELL("filename",'Transaction Assumptions'!A2))-FIND("]",CELL("filename",'Transaction Assumptions'!A2)))</f>
        <v>Transaction Assumptions</v>
      </c>
      <c r="C7" s="121"/>
      <c r="D7" s="121"/>
      <c r="E7" s="504"/>
      <c r="F7" s="121"/>
      <c r="J7" s="489"/>
      <c r="K7" s="489"/>
      <c r="L7" s="489"/>
      <c r="M7" s="489"/>
      <c r="N7" s="489"/>
      <c r="O7" s="489"/>
      <c r="Q7" s="493"/>
    </row>
    <row r="8" spans="1:18" ht="19.5" customHeight="1">
      <c r="B8" s="309" t="str" cm="1">
        <f t="array" aca="1" ref="B8" ca="1">RIGHT(CELL("filename",'Forecasting Assumptions'!A3),LEN(CELL("filename",'Forecasting Assumptions'!A3))-FIND("]",CELL("filename",'Forecasting Assumptions'!A3)))</f>
        <v>Forecasting Assumptions</v>
      </c>
      <c r="C8" s="121"/>
      <c r="D8" s="121"/>
      <c r="E8" s="504"/>
      <c r="F8" s="121"/>
      <c r="G8" s="494"/>
      <c r="J8" s="495"/>
      <c r="O8" s="496"/>
      <c r="R8" s="497"/>
    </row>
    <row r="9" spans="1:18" ht="19.5" customHeight="1">
      <c r="B9" s="309" t="str" cm="1">
        <f t="array" aca="1" ref="B9" ca="1">RIGHT(CELL("filename",Model!A4),LEN(CELL("filename",Model!A4))-FIND("]",CELL("filename",Model!A4)))</f>
        <v>Model</v>
      </c>
      <c r="J9" s="489"/>
      <c r="O9" s="496"/>
    </row>
    <row r="10" spans="1:18" ht="19.5" customHeight="1">
      <c r="B10" s="309"/>
      <c r="J10" s="489"/>
      <c r="O10" s="496"/>
    </row>
    <row r="11" spans="1:18" ht="19.5" customHeight="1">
      <c r="B11" s="649" t="s">
        <v>412</v>
      </c>
      <c r="C11" s="641"/>
      <c r="D11" s="641"/>
      <c r="E11" s="641"/>
      <c r="F11" s="641"/>
      <c r="G11" s="641"/>
      <c r="H11" s="641"/>
      <c r="I11" s="641"/>
      <c r="J11" s="642"/>
      <c r="K11" s="641"/>
      <c r="L11" s="641"/>
      <c r="M11" s="641"/>
      <c r="N11" s="641"/>
      <c r="O11" s="643"/>
      <c r="P11" s="641"/>
      <c r="Q11" s="641"/>
    </row>
    <row r="12" spans="1:18" ht="19.5" customHeight="1">
      <c r="B12" s="490"/>
      <c r="J12" s="489"/>
      <c r="O12" s="496"/>
    </row>
    <row r="13" spans="1:18" ht="19.5" customHeight="1">
      <c r="A13" s="508"/>
      <c r="B13" s="309" t="s">
        <v>11</v>
      </c>
      <c r="C13" s="508"/>
      <c r="D13" s="508"/>
      <c r="E13" s="509"/>
      <c r="J13" s="489"/>
      <c r="O13" s="496"/>
    </row>
    <row r="14" spans="1:18" ht="19.5" customHeight="1">
      <c r="A14" s="508"/>
      <c r="B14" s="309" t="s">
        <v>339</v>
      </c>
      <c r="C14" s="508"/>
      <c r="D14" s="508"/>
      <c r="E14" s="509"/>
      <c r="J14" s="489"/>
      <c r="O14" s="496"/>
    </row>
    <row r="15" spans="1:18" ht="19.5" customHeight="1">
      <c r="A15" s="508"/>
      <c r="B15" s="309" t="s">
        <v>411</v>
      </c>
      <c r="C15" s="508"/>
      <c r="D15" s="508"/>
      <c r="E15" s="509"/>
      <c r="J15" s="489"/>
      <c r="O15" s="496"/>
    </row>
    <row r="16" spans="1:18" ht="19.5" customHeight="1">
      <c r="A16" s="507"/>
      <c r="B16" s="507"/>
      <c r="C16" s="507"/>
      <c r="D16" s="507"/>
      <c r="E16" s="122"/>
      <c r="H16"/>
      <c r="I16"/>
      <c r="J16" s="489"/>
      <c r="O16" s="496"/>
    </row>
    <row r="17" spans="2:19" ht="19.5" customHeight="1">
      <c r="B17" s="650" t="s">
        <v>95</v>
      </c>
      <c r="C17" s="644"/>
      <c r="D17" s="644"/>
      <c r="E17" s="644"/>
      <c r="F17" s="644"/>
      <c r="G17" s="645"/>
      <c r="H17" s="646"/>
      <c r="I17" s="646"/>
      <c r="J17" s="647"/>
      <c r="K17" s="645"/>
      <c r="L17" s="645"/>
      <c r="M17" s="645"/>
      <c r="N17" s="645"/>
      <c r="O17" s="648"/>
      <c r="P17" s="645"/>
      <c r="Q17" s="645"/>
    </row>
    <row r="18" spans="2:19" ht="19.5" customHeight="1">
      <c r="G18" s="491"/>
      <c r="J18" s="489"/>
      <c r="O18" s="496"/>
    </row>
    <row r="19" spans="2:19" ht="19.25" customHeight="1">
      <c r="B19" s="507" t="s">
        <v>95</v>
      </c>
      <c r="C19" s="489"/>
      <c r="D19" s="499">
        <v>2</v>
      </c>
      <c r="E19" s="162"/>
      <c r="F19" s="162"/>
      <c r="G19" s="491"/>
      <c r="H19" s="491"/>
      <c r="I19" s="491"/>
      <c r="S19" s="498" t="s">
        <v>126</v>
      </c>
    </row>
    <row r="20" spans="2:19" ht="19.5" customHeight="1">
      <c r="B20" s="122"/>
      <c r="C20" s="122"/>
      <c r="D20" s="122"/>
      <c r="E20" s="122"/>
      <c r="F20" s="122"/>
      <c r="G20" s="491"/>
      <c r="H20" s="491"/>
      <c r="I20" s="491"/>
      <c r="S20" s="500" t="s">
        <v>96</v>
      </c>
    </row>
    <row r="21" spans="2:19" ht="19.5" customHeight="1">
      <c r="B21" s="122"/>
      <c r="C21" s="122"/>
      <c r="D21" s="122"/>
      <c r="E21" s="122"/>
      <c r="F21" s="122"/>
      <c r="G21" s="491"/>
      <c r="O21" s="491"/>
      <c r="S21" s="500" t="s">
        <v>97</v>
      </c>
    </row>
    <row r="22" spans="2:19" ht="19.5" customHeight="1">
      <c r="G22" s="491"/>
      <c r="H22" s="491"/>
      <c r="I22" s="491"/>
      <c r="J22" s="491"/>
      <c r="K22" s="491"/>
      <c r="L22" s="491"/>
      <c r="M22" s="491"/>
      <c r="N22" s="491"/>
      <c r="O22" s="491"/>
      <c r="S22" s="501"/>
    </row>
    <row r="23" spans="2:19" ht="19.5" customHeight="1">
      <c r="B23" s="502" t="str">
        <f>IF($D$19=1,"This model now has the circularity turned on. Please confirm the Excel settings below","")</f>
        <v/>
      </c>
      <c r="C23" s="291"/>
      <c r="D23" s="291"/>
      <c r="E23" s="291"/>
      <c r="F23" s="291"/>
      <c r="G23" s="492"/>
      <c r="H23" s="492"/>
      <c r="I23" s="492"/>
      <c r="J23" s="492"/>
      <c r="K23" s="492"/>
      <c r="L23" s="503"/>
      <c r="M23" s="491"/>
      <c r="N23" s="491"/>
      <c r="O23" s="491"/>
      <c r="R23" s="497"/>
    </row>
    <row r="24" spans="2:19" ht="19.5" customHeight="1">
      <c r="B24" s="502" t="str">
        <f>IF($D$19=1,"PC","")</f>
        <v/>
      </c>
      <c r="C24" s="492" t="str">
        <f>IF($D$19=1,"File - Options - Formulas - Check the box on the top-right labeled 'Enable iterative calculation'.","")</f>
        <v/>
      </c>
      <c r="D24" s="292"/>
      <c r="E24" s="292"/>
      <c r="F24" s="292"/>
      <c r="G24" s="492"/>
      <c r="H24" s="492"/>
      <c r="I24" s="492"/>
      <c r="J24" s="492"/>
      <c r="K24" s="492"/>
      <c r="L24" s="503"/>
      <c r="M24" s="491"/>
      <c r="N24" s="491"/>
      <c r="O24" s="491"/>
      <c r="R24" s="497"/>
      <c r="S24"/>
    </row>
    <row r="25" spans="2:19" ht="19.5" customHeight="1">
      <c r="B25" s="502" t="str">
        <f>IF($D$19=1,"Mac","")</f>
        <v/>
      </c>
      <c r="C25" s="492" t="str">
        <f>IF($D$19=1,"Excel - Preferences - Calculation - Check the box near the bottom labeled 'Use iterative calculation'.","")</f>
        <v/>
      </c>
      <c r="D25" s="292"/>
      <c r="E25" s="292"/>
      <c r="F25" s="292"/>
      <c r="G25" s="492"/>
      <c r="H25" s="492"/>
      <c r="I25" s="492"/>
      <c r="J25" s="492"/>
      <c r="K25" s="492"/>
      <c r="L25" s="503"/>
      <c r="M25" s="491"/>
      <c r="N25" s="491"/>
      <c r="O25" s="491"/>
      <c r="R25" s="497"/>
      <c r="S25"/>
    </row>
    <row r="26" spans="2:19" ht="19.5" customHeight="1">
      <c r="B26" s="229"/>
      <c r="C26" s="229"/>
      <c r="D26" s="229"/>
      <c r="E26" s="229"/>
      <c r="F26" s="229"/>
      <c r="G26" s="491"/>
      <c r="H26" s="491"/>
      <c r="I26" s="491"/>
      <c r="J26" s="491"/>
      <c r="K26" s="491"/>
      <c r="L26" s="491"/>
      <c r="M26" s="491"/>
      <c r="N26" s="491"/>
      <c r="O26" s="491"/>
      <c r="S26"/>
    </row>
    <row r="27" spans="2:19" ht="19.5" customHeight="1">
      <c r="P27" s="487" t="s">
        <v>39</v>
      </c>
      <c r="S27"/>
    </row>
    <row r="28" spans="2:19" ht="19.5" customHeight="1">
      <c r="Q28" s="487" t="s">
        <v>39</v>
      </c>
      <c r="S28"/>
    </row>
  </sheetData>
  <conditionalFormatting sqref="O5:O18">
    <cfRule type="expression" dxfId="99" priority="1">
      <formula>O5=1</formula>
    </cfRule>
  </conditionalFormatting>
  <hyperlinks>
    <hyperlink ref="B6" location="Outputs!A1" tooltip="Transaction" display="Outputs!A1" xr:uid="{02C172A4-123F-4ED2-83DE-12C27C8727B1}"/>
    <hyperlink ref="B13" location="IS!A1" display="Income Statement" xr:uid="{ED2B8051-C0C8-AC4A-B1CD-A963E202C5D5}"/>
    <hyperlink ref="B14" location="BS!A1" display="Balance Sheet" xr:uid="{B6FF85A3-C809-BF46-8743-47E1B425ECC6}"/>
    <hyperlink ref="B15" location="CFS!A1" display="Statement of Cash Flows" xr:uid="{11B2FA0A-4F63-2640-A8BC-A6A938C72360}"/>
    <hyperlink ref="B7" location="'Transaction Assumptions'!A1" tooltip="Transaction" display="'Transaction Assumptions'!A1" xr:uid="{315DFFF4-33EF-F54B-A098-48A6C70BE40D}"/>
    <hyperlink ref="B8" location="'Forecasting Assumptions'!A1" tooltip="Transaction" display="'Forecasting Assumptions'!A1" xr:uid="{68A832DA-7889-4749-BA8A-7BD2AEF1521F}"/>
    <hyperlink ref="B9" location="Model!A1" tooltip="Transaction" display="Model!A1" xr:uid="{D3475CCF-64D3-9542-9471-62AE9E385921}"/>
    <hyperlink ref="B5" location="Cover!A1" display="Cover!A1" xr:uid="{3911008C-4166-DA4F-A90D-C10DC3C1ED2E}"/>
  </hyperlinks>
  <printOptions horizontalCentered="1" verticalCentered="1"/>
  <pageMargins left="0.31496062992126" right="0.31496062992126" top="0.31496062992126" bottom="0.31496062992126" header="0.31496062992126" footer="0.31496062992126"/>
  <pageSetup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Drop Down 2">
              <controlPr defaultSize="0" autoLine="0" autoPict="0">
                <anchor moveWithCells="1" sizeWithCells="1">
                  <from>
                    <xdr:col>3</xdr:col>
                    <xdr:colOff>0</xdr:colOff>
                    <xdr:row>18</xdr:row>
                    <xdr:rowOff>0</xdr:rowOff>
                  </from>
                  <to>
                    <xdr:col>4</xdr:col>
                    <xdr:colOff>0</xdr:colOff>
                    <xdr:row>19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D9D6B-0370-C64F-A0DE-406E8F2E03DA}">
  <sheetPr>
    <pageSetUpPr autoPageBreaks="0"/>
  </sheetPr>
  <dimension ref="A1:AQ78"/>
  <sheetViews>
    <sheetView showGridLines="0" zoomScaleNormal="100" zoomScaleSheetLayoutView="100" workbookViewId="0"/>
  </sheetViews>
  <sheetFormatPr baseColWidth="10" defaultColWidth="9.1640625" defaultRowHeight="14" outlineLevelRow="1"/>
  <cols>
    <col min="1" max="1" width="9.1640625" style="228" customWidth="1"/>
    <col min="2" max="2" width="3.5" style="228" customWidth="1"/>
    <col min="3" max="4" width="10" style="228" customWidth="1"/>
    <col min="5" max="9" width="10.6640625" style="228" customWidth="1"/>
    <col min="10" max="10" width="6.6640625" style="228" customWidth="1"/>
    <col min="11" max="11" width="10.1640625" style="228" customWidth="1"/>
    <col min="12" max="12" width="10.1640625" style="228" bestFit="1" customWidth="1"/>
    <col min="13" max="17" width="10.6640625" style="228" customWidth="1"/>
    <col min="18" max="18" width="6.6640625" style="228" customWidth="1"/>
    <col min="19" max="19" width="10.6640625" style="228" hidden="1" customWidth="1"/>
    <col min="20" max="20" width="20.5" style="228" hidden="1" customWidth="1"/>
    <col min="21" max="21" width="11.1640625" style="228" hidden="1" customWidth="1"/>
    <col min="22" max="22" width="10.5" style="228" hidden="1" customWidth="1"/>
    <col min="23" max="23" width="11.83203125" style="228" hidden="1" customWidth="1"/>
    <col min="24" max="24" width="11.1640625" style="228" hidden="1" customWidth="1"/>
    <col min="25" max="27" width="10.5" style="228" hidden="1" customWidth="1"/>
    <col min="28" max="29" width="10.1640625" style="228" hidden="1" customWidth="1"/>
    <col min="30" max="30" width="9.83203125" style="228" hidden="1" customWidth="1"/>
    <col min="31" max="32" width="10.1640625" style="228" hidden="1" customWidth="1"/>
    <col min="33" max="43" width="9.1640625" style="228" hidden="1" customWidth="1"/>
    <col min="44" max="44" width="0" style="228" hidden="1" customWidth="1"/>
    <col min="45" max="16384" width="9.1640625" style="228"/>
  </cols>
  <sheetData>
    <row r="1" spans="1:27" s="521" customFormat="1" ht="35" customHeight="1">
      <c r="A1" s="651"/>
      <c r="B1" s="599"/>
      <c r="C1" s="522" t="s">
        <v>418</v>
      </c>
      <c r="F1" s="523"/>
      <c r="G1" s="523"/>
      <c r="H1" s="523"/>
      <c r="I1" s="524"/>
      <c r="J1" s="652"/>
      <c r="K1" s="524"/>
      <c r="L1" s="524"/>
      <c r="M1" s="524"/>
      <c r="N1" s="524"/>
      <c r="O1" s="524"/>
      <c r="S1" s="599"/>
    </row>
    <row r="2" spans="1:27" s="53" customFormat="1" ht="14" customHeight="1">
      <c r="A2" s="155"/>
      <c r="B2" s="228"/>
      <c r="C2" s="156"/>
      <c r="D2" s="156"/>
      <c r="E2" s="157"/>
      <c r="F2" s="157"/>
      <c r="G2" s="158"/>
      <c r="H2" s="158"/>
      <c r="I2" s="158"/>
      <c r="J2" s="158"/>
      <c r="K2" s="155"/>
      <c r="L2" s="155"/>
      <c r="M2" s="155"/>
      <c r="N2" s="155"/>
      <c r="O2" s="155"/>
      <c r="P2" s="155"/>
      <c r="Q2" s="155"/>
      <c r="R2" s="155"/>
      <c r="S2" s="228"/>
    </row>
    <row r="3" spans="1:27" ht="15" customHeight="1">
      <c r="A3" s="299" t="s">
        <v>39</v>
      </c>
      <c r="C3" s="653" t="s">
        <v>42</v>
      </c>
      <c r="D3" s="654"/>
      <c r="E3" s="654"/>
      <c r="F3" s="654"/>
      <c r="H3" s="653" t="s">
        <v>43</v>
      </c>
      <c r="I3" s="654"/>
      <c r="J3" s="654"/>
      <c r="K3" s="654"/>
      <c r="L3" s="654"/>
      <c r="M3" s="654"/>
      <c r="N3" s="654"/>
      <c r="O3" s="654"/>
      <c r="P3" s="654"/>
      <c r="Q3" s="654"/>
      <c r="T3" s="53"/>
      <c r="U3" s="53"/>
      <c r="V3" s="53"/>
      <c r="W3" s="53"/>
      <c r="X3" s="53"/>
    </row>
    <row r="4" spans="1:27" ht="15" customHeight="1" outlineLevel="1">
      <c r="T4" s="53"/>
      <c r="U4" s="53"/>
      <c r="V4" s="53"/>
      <c r="W4" s="53"/>
      <c r="X4" s="53"/>
    </row>
    <row r="5" spans="1:27" ht="15" customHeight="1" outlineLevel="1" thickBot="1">
      <c r="C5" s="532" t="s">
        <v>50</v>
      </c>
      <c r="D5" s="612"/>
      <c r="E5" s="612"/>
      <c r="F5" s="612"/>
      <c r="H5" s="532" t="s">
        <v>45</v>
      </c>
      <c r="I5" s="612"/>
      <c r="J5" s="656"/>
      <c r="K5" s="656"/>
      <c r="L5" s="612"/>
      <c r="N5" s="532" t="s">
        <v>46</v>
      </c>
      <c r="O5" s="612"/>
      <c r="P5" s="656"/>
      <c r="Q5" s="612"/>
    </row>
    <row r="6" spans="1:27" ht="15" customHeight="1" outlineLevel="1">
      <c r="C6" s="253" t="s">
        <v>44</v>
      </c>
      <c r="D6" s="59"/>
      <c r="E6" s="94"/>
      <c r="F6" s="75">
        <f>'Transaction Assumptions'!C17</f>
        <v>6086597.695648998</v>
      </c>
      <c r="H6" s="260" t="s">
        <v>47</v>
      </c>
      <c r="I6" s="58"/>
      <c r="L6" s="333">
        <f>'Transaction Assumptions'!J8</f>
        <v>428795</v>
      </c>
      <c r="N6" s="260" t="s">
        <v>50</v>
      </c>
      <c r="O6" s="657"/>
      <c r="Q6" s="333">
        <f>'Transaction Assumptions'!N8</f>
        <v>6715392.695648998</v>
      </c>
    </row>
    <row r="7" spans="1:27" ht="15" customHeight="1" outlineLevel="1">
      <c r="C7" s="253" t="s">
        <v>136</v>
      </c>
      <c r="E7" s="94"/>
      <c r="F7" s="75">
        <f>-'Transaction Assumptions'!C15</f>
        <v>0</v>
      </c>
      <c r="H7" s="260" t="s">
        <v>198</v>
      </c>
      <c r="I7" s="62"/>
      <c r="L7" s="333">
        <f>'Transaction Assumptions'!J12</f>
        <v>0</v>
      </c>
      <c r="N7" s="254" t="s">
        <v>403</v>
      </c>
      <c r="O7" s="63"/>
      <c r="Q7" s="333">
        <f>'Transaction Assumptions'!N9</f>
        <v>0</v>
      </c>
    </row>
    <row r="8" spans="1:27" ht="15" customHeight="1" outlineLevel="1">
      <c r="C8" s="258" t="s">
        <v>49</v>
      </c>
      <c r="D8" s="61"/>
      <c r="E8" s="92"/>
      <c r="F8" s="91">
        <f>-'Transaction Assumptions'!C16</f>
        <v>628795</v>
      </c>
      <c r="H8" s="266" t="s">
        <v>177</v>
      </c>
      <c r="I8" s="58"/>
      <c r="L8" s="333">
        <f>'Transaction Assumptions'!J9</f>
        <v>540831.4156519199</v>
      </c>
      <c r="N8" s="260" t="s">
        <v>404</v>
      </c>
      <c r="O8" s="63"/>
      <c r="Q8" s="333">
        <f>'Transaction Assumptions'!N10</f>
        <v>45000</v>
      </c>
      <c r="S8" s="60"/>
      <c r="X8"/>
      <c r="Y8"/>
      <c r="Z8"/>
      <c r="AA8"/>
    </row>
    <row r="9" spans="1:27" ht="15" customHeight="1" outlineLevel="1">
      <c r="C9" s="259" t="s">
        <v>50</v>
      </c>
      <c r="D9" s="89"/>
      <c r="E9" s="159"/>
      <c r="F9" s="330">
        <f>SUM(F6:F8)</f>
        <v>6715392.695648998</v>
      </c>
      <c r="H9" s="266" t="s">
        <v>178</v>
      </c>
      <c r="I9" s="58"/>
      <c r="L9" s="333">
        <f>'Transaction Assumptions'!J10</f>
        <v>1487286.3930427795</v>
      </c>
      <c r="N9" s="261" t="s">
        <v>54</v>
      </c>
      <c r="O9" s="160"/>
      <c r="Q9" s="334">
        <f>SUM(Q6:Q8)</f>
        <v>6760392.695648998</v>
      </c>
      <c r="X9"/>
      <c r="Y9"/>
      <c r="Z9"/>
      <c r="AA9"/>
    </row>
    <row r="10" spans="1:27" ht="15" customHeight="1" outlineLevel="1">
      <c r="C10" s="238"/>
      <c r="E10" s="58"/>
      <c r="F10" s="58"/>
      <c r="H10" s="260" t="s">
        <v>52</v>
      </c>
      <c r="I10" s="58"/>
      <c r="L10" s="333">
        <f>'Transaction Assumptions'!J11</f>
        <v>4303479.8869542982</v>
      </c>
    </row>
    <row r="11" spans="1:27" ht="15" customHeight="1" outlineLevel="1">
      <c r="H11" s="261" t="s">
        <v>53</v>
      </c>
      <c r="I11" s="62"/>
      <c r="L11" s="334">
        <f>SUM(L6:L10)</f>
        <v>6760392.695648998</v>
      </c>
      <c r="O11" s="60"/>
      <c r="T11"/>
      <c r="U11"/>
      <c r="V11"/>
      <c r="W11"/>
      <c r="X11"/>
      <c r="Y11"/>
      <c r="Z11"/>
      <c r="AA11"/>
    </row>
    <row r="12" spans="1:27" ht="15" customHeight="1" outlineLevel="1">
      <c r="C12" s="253" t="s">
        <v>125</v>
      </c>
      <c r="D12" s="58"/>
      <c r="E12" s="143"/>
      <c r="F12" s="331">
        <f>'Transaction Assumptions'!C8</f>
        <v>42.66</v>
      </c>
      <c r="O12" s="60"/>
      <c r="T12"/>
      <c r="U12"/>
      <c r="V12"/>
      <c r="W12"/>
      <c r="X12"/>
      <c r="Y12"/>
      <c r="Z12"/>
      <c r="AA12"/>
    </row>
    <row r="13" spans="1:27" ht="15" customHeight="1" outlineLevel="1">
      <c r="C13" s="253" t="s">
        <v>51</v>
      </c>
      <c r="D13" s="62"/>
      <c r="E13" s="144"/>
      <c r="F13" s="332">
        <f>'Transaction Assumptions'!C9</f>
        <v>0.15</v>
      </c>
      <c r="O13" s="58"/>
      <c r="P13" s="58"/>
      <c r="Q13" s="280" t="s">
        <v>41</v>
      </c>
      <c r="S13" s="58"/>
      <c r="T13"/>
      <c r="U13"/>
      <c r="V13"/>
      <c r="W13"/>
      <c r="X13"/>
      <c r="Y13"/>
      <c r="Z13"/>
      <c r="AA13"/>
    </row>
    <row r="14" spans="1:27" ht="15" customHeight="1"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S14" s="58"/>
      <c r="Z14" s="58"/>
      <c r="AA14" s="58"/>
    </row>
    <row r="15" spans="1:27" ht="15" customHeight="1">
      <c r="A15" s="299" t="s">
        <v>39</v>
      </c>
      <c r="C15" s="653" t="s">
        <v>208</v>
      </c>
      <c r="D15" s="654"/>
      <c r="E15" s="654"/>
      <c r="F15" s="655"/>
      <c r="G15" s="655"/>
      <c r="H15" s="653"/>
      <c r="I15" s="654"/>
      <c r="J15" s="654"/>
      <c r="K15" s="654"/>
      <c r="L15" s="654"/>
      <c r="M15" s="654"/>
      <c r="N15" s="654"/>
      <c r="O15" s="654"/>
      <c r="P15" s="654"/>
      <c r="Q15" s="654"/>
      <c r="S15" s="161"/>
      <c r="X15" s="64"/>
      <c r="Y15" s="64"/>
    </row>
    <row r="16" spans="1:27" ht="15" customHeight="1" outlineLevel="1">
      <c r="C16" s="10" t="str">
        <f>Model!$B$6</f>
        <v>Model Running: Base Case Drivers</v>
      </c>
    </row>
    <row r="17" spans="1:32" ht="15" customHeight="1" outlineLevel="1"/>
    <row r="18" spans="1:32" ht="20" customHeight="1" outlineLevel="1" thickBot="1">
      <c r="D18" s="659" t="s">
        <v>192</v>
      </c>
      <c r="E18" s="660"/>
      <c r="F18" s="661"/>
      <c r="I18" s="659" t="s">
        <v>174</v>
      </c>
      <c r="J18" s="660"/>
      <c r="K18" s="661"/>
      <c r="L18" s="661"/>
      <c r="O18" s="659" t="s">
        <v>175</v>
      </c>
      <c r="P18" s="660"/>
      <c r="Q18" s="661"/>
      <c r="T18" s="321" t="s">
        <v>193</v>
      </c>
      <c r="U18" s="321"/>
      <c r="V18" s="321"/>
      <c r="W18" s="321"/>
      <c r="X18" s="321"/>
      <c r="Y18" s="321"/>
      <c r="Z18" s="321"/>
      <c r="AA18" s="321"/>
    </row>
    <row r="19" spans="1:32" ht="15" customHeight="1" outlineLevel="1">
      <c r="D19" s="662"/>
      <c r="E19" s="663"/>
      <c r="F19" s="663"/>
      <c r="I19" s="662"/>
      <c r="J19" s="663"/>
      <c r="K19" s="663"/>
      <c r="L19" s="663"/>
      <c r="O19" s="80"/>
      <c r="P19" s="658"/>
      <c r="Q19" s="658"/>
      <c r="T19" s="321" t="s">
        <v>194</v>
      </c>
      <c r="U19" s="321"/>
      <c r="V19" s="321"/>
      <c r="W19" s="321"/>
      <c r="X19" s="321"/>
      <c r="Y19" s="321"/>
      <c r="Z19" s="321"/>
      <c r="AA19" s="321"/>
    </row>
    <row r="20" spans="1:32" ht="25" outlineLevel="1">
      <c r="A20" s="664"/>
      <c r="B20" s="664"/>
      <c r="C20" s="664"/>
      <c r="D20" s="665">
        <f>'Transaction Assumptions'!J11/1000000</f>
        <v>4.3034798869542978</v>
      </c>
      <c r="E20" s="666"/>
      <c r="F20" s="667"/>
      <c r="G20" s="664"/>
      <c r="H20" s="664"/>
      <c r="I20" s="668">
        <f>Model!$E$400</f>
        <v>0.26933178305625916</v>
      </c>
      <c r="J20" s="669"/>
      <c r="K20" s="667"/>
      <c r="L20" s="667"/>
      <c r="M20" s="664"/>
      <c r="N20" s="664"/>
      <c r="O20" s="670">
        <f>Model!$F$400</f>
        <v>4.1881137552063628</v>
      </c>
      <c r="P20" s="669"/>
      <c r="Q20" s="667"/>
      <c r="T20" s="321"/>
      <c r="U20" s="321"/>
      <c r="V20" s="321"/>
      <c r="W20" s="321"/>
      <c r="X20" s="321"/>
      <c r="Y20" s="321"/>
      <c r="Z20" s="321"/>
      <c r="AA20" s="321"/>
      <c r="AD20" s="385"/>
    </row>
    <row r="21" spans="1:32" ht="15" customHeight="1" outlineLevel="1">
      <c r="D21" s="313"/>
      <c r="E21" s="313"/>
    </row>
    <row r="22" spans="1:32" ht="15" customHeight="1" outlineLevel="1">
      <c r="Q22" s="314" t="s">
        <v>420</v>
      </c>
    </row>
    <row r="23" spans="1:32" ht="15" customHeight="1" outlineLevel="1">
      <c r="Q23" s="314"/>
    </row>
    <row r="24" spans="1:32" ht="15" customHeight="1" outlineLevel="1" thickBot="1">
      <c r="C24" s="671" t="s">
        <v>186</v>
      </c>
      <c r="D24" s="671"/>
      <c r="E24" s="671"/>
      <c r="F24" s="672"/>
      <c r="G24" s="672"/>
      <c r="H24" s="672"/>
      <c r="I24" s="672"/>
      <c r="K24" s="671" t="s">
        <v>428</v>
      </c>
      <c r="L24" s="671"/>
      <c r="M24" s="671"/>
      <c r="N24" s="672"/>
      <c r="O24" s="672"/>
      <c r="P24" s="672"/>
      <c r="Q24" s="672"/>
      <c r="T24" s="541"/>
      <c r="U24" s="541"/>
      <c r="V24" s="541"/>
      <c r="W24" s="698">
        <f>Model!K5</f>
        <v>2025</v>
      </c>
      <c r="X24" s="698">
        <f>Model!L5</f>
        <v>2026</v>
      </c>
      <c r="Y24" s="698">
        <f>Model!M5</f>
        <v>2027</v>
      </c>
      <c r="Z24" s="698">
        <f>Model!N5</f>
        <v>2028</v>
      </c>
      <c r="AA24" s="698">
        <f>Model!O5</f>
        <v>2029</v>
      </c>
      <c r="AB24" s="698">
        <f>Model!P5</f>
        <v>2030</v>
      </c>
      <c r="AC24" s="698">
        <f>Model!Q5</f>
        <v>2031</v>
      </c>
      <c r="AD24" s="698">
        <f>Model!R5</f>
        <v>2032</v>
      </c>
      <c r="AE24" s="698">
        <f>Model!S5</f>
        <v>2033</v>
      </c>
      <c r="AF24" s="698">
        <f>Model!T5</f>
        <v>2034</v>
      </c>
    </row>
    <row r="25" spans="1:32" ht="15" customHeight="1" outlineLevel="1"/>
    <row r="26" spans="1:32" ht="15" customHeight="1" outlineLevel="1">
      <c r="T26" s="58" t="s">
        <v>0</v>
      </c>
      <c r="W26" s="81">
        <f>Model!K8</f>
        <v>1245839.4000000001</v>
      </c>
      <c r="X26" s="81">
        <f>Model!L8</f>
        <v>1619591.2200000002</v>
      </c>
      <c r="Y26" s="81">
        <f>Model!M8</f>
        <v>2105468.5860000001</v>
      </c>
      <c r="Z26" s="81">
        <f>Model!N8</f>
        <v>2716054.4759400003</v>
      </c>
      <c r="AA26" s="81">
        <f>Model!O8</f>
        <v>3503710.2739626006</v>
      </c>
      <c r="AB26" s="81">
        <f>Model!P8</f>
        <v>4460223.1787543911</v>
      </c>
      <c r="AC26" s="81">
        <f>Model!Q8</f>
        <v>5468233.6171528837</v>
      </c>
      <c r="AD26" s="81">
        <f>Model!R8</f>
        <v>6441579.2010060968</v>
      </c>
      <c r="AE26" s="81">
        <f>Model!S8</f>
        <v>7285426.0763378954</v>
      </c>
      <c r="AF26" s="81">
        <f>Model!T8</f>
        <v>7897401.8667502794</v>
      </c>
    </row>
    <row r="27" spans="1:32" ht="15" customHeight="1" outlineLevel="1">
      <c r="T27" s="58" t="s">
        <v>12</v>
      </c>
      <c r="U27" s="240"/>
      <c r="V27" s="240"/>
      <c r="W27" s="81">
        <f>Model!K17</f>
        <v>31145.985000000077</v>
      </c>
      <c r="X27" s="81">
        <f>Model!L17</f>
        <v>129567.29760000014</v>
      </c>
      <c r="Y27" s="81">
        <f>Model!M17</f>
        <v>231601.54445999995</v>
      </c>
      <c r="Z27" s="81">
        <f>Model!N17</f>
        <v>407408.17139100027</v>
      </c>
      <c r="AA27" s="81">
        <f>Model!O17</f>
        <v>630667.84931326832</v>
      </c>
      <c r="AB27" s="81">
        <f>Model!P17</f>
        <v>981249.09932596632</v>
      </c>
      <c r="AC27" s="81">
        <f>Model!Q17</f>
        <v>1312376.0681166924</v>
      </c>
      <c r="AD27" s="81">
        <f>Model!R17</f>
        <v>1545979.0082414635</v>
      </c>
      <c r="AE27" s="81">
        <f>Model!S17</f>
        <v>1821356.5190844748</v>
      </c>
      <c r="AF27" s="81">
        <f>Model!T17</f>
        <v>1974350.4666875703</v>
      </c>
    </row>
    <row r="28" spans="1:32" ht="15" customHeight="1" outlineLevel="1">
      <c r="T28" s="58" t="s">
        <v>48</v>
      </c>
      <c r="U28" s="240"/>
      <c r="V28" s="240"/>
      <c r="W28" s="81">
        <f>Model!K289</f>
        <v>2002277.5252305549</v>
      </c>
      <c r="X28" s="81">
        <f>Model!L289</f>
        <v>2122168.8149103262</v>
      </c>
      <c r="Y28" s="81">
        <f>Model!M289</f>
        <v>2198282.8596652956</v>
      </c>
      <c r="Z28" s="81">
        <f>Model!N289</f>
        <v>2175071.0083165811</v>
      </c>
      <c r="AA28" s="81">
        <f>Model!O289</f>
        <v>2135191.9622686044</v>
      </c>
      <c r="AB28" s="81">
        <f>Model!P289</f>
        <v>2188571.7613253198</v>
      </c>
      <c r="AC28" s="81">
        <f>Model!Q289</f>
        <v>2243286.0553584527</v>
      </c>
      <c r="AD28" s="81">
        <f>Model!R289</f>
        <v>2299368.2067424143</v>
      </c>
      <c r="AE28" s="81">
        <f>Model!S289</f>
        <v>2356852.4119109744</v>
      </c>
      <c r="AF28" s="81">
        <f>Model!T289</f>
        <v>2415773.7222087486</v>
      </c>
    </row>
    <row r="29" spans="1:32" ht="15" customHeight="1" outlineLevel="1">
      <c r="T29" s="58"/>
      <c r="U29" s="240"/>
      <c r="V29" s="240"/>
      <c r="W29" s="58"/>
      <c r="X29" s="58"/>
      <c r="Y29" s="58"/>
      <c r="Z29" s="58"/>
      <c r="AA29" s="58"/>
    </row>
    <row r="30" spans="1:32" ht="15" customHeight="1" outlineLevel="1">
      <c r="T30" s="697" t="s">
        <v>433</v>
      </c>
      <c r="U30" s="241"/>
      <c r="V30" s="241"/>
      <c r="W30" s="335">
        <f>Model!K349</f>
        <v>64.286858329590473</v>
      </c>
      <c r="X30" s="335">
        <f>Model!L349</f>
        <v>16.378892314802158</v>
      </c>
      <c r="Y30" s="335">
        <f>Model!M349</f>
        <v>9.4916588954136376</v>
      </c>
      <c r="Z30" s="335">
        <f>Model!N349</f>
        <v>5.3388006452848211</v>
      </c>
      <c r="AA30" s="335">
        <f>Model!O349</f>
        <v>3.385604585034113</v>
      </c>
      <c r="AB30" s="335">
        <f>Model!P349</f>
        <v>2.2303936511418763</v>
      </c>
      <c r="AC30" s="335">
        <f>Model!Q349</f>
        <v>1.7093317303306592</v>
      </c>
      <c r="AD30" s="335">
        <f>Model!R349</f>
        <v>1.4873217517732817</v>
      </c>
      <c r="AE30" s="335">
        <f>Model!S349</f>
        <v>1.2940093755481066</v>
      </c>
      <c r="AF30" s="335">
        <f>Model!T349</f>
        <v>1.2235789759564664</v>
      </c>
    </row>
    <row r="31" spans="1:32" ht="15" customHeight="1" outlineLevel="1">
      <c r="T31" s="696" t="s">
        <v>434</v>
      </c>
      <c r="U31" s="240"/>
      <c r="V31" s="240"/>
      <c r="W31" s="335">
        <f>Model!K361</f>
        <v>2.633193897574301E-2</v>
      </c>
      <c r="X31" s="335">
        <f>Model!L361</f>
        <v>0.39987563846083357</v>
      </c>
      <c r="Y31" s="335">
        <f>Model!M361</f>
        <v>0.74770364157366265</v>
      </c>
      <c r="Z31" s="335">
        <f>Model!N361</f>
        <v>1.3463686175016683</v>
      </c>
      <c r="AA31" s="335">
        <f>Model!O361</f>
        <v>2.1015585792824489</v>
      </c>
      <c r="AB31" s="335">
        <f>Model!P361</f>
        <v>3.616876219727799</v>
      </c>
      <c r="AC31" s="335">
        <f>Model!Q361</f>
        <v>4.719677706065645</v>
      </c>
      <c r="AD31" s="335">
        <f>Model!R361</f>
        <v>6.0208491963564876</v>
      </c>
      <c r="AE31" s="335">
        <f>Model!S361</f>
        <v>8.2589968082870229</v>
      </c>
      <c r="AF31" s="335">
        <f>Model!T361</f>
        <v>11.209440386804047</v>
      </c>
    </row>
    <row r="32" spans="1:32" ht="15" customHeight="1" outlineLevel="1"/>
    <row r="33" spans="1:43" ht="15" customHeight="1" outlineLevel="1"/>
    <row r="34" spans="1:43" ht="15" customHeight="1" outlineLevel="1"/>
    <row r="35" spans="1:43" ht="15" customHeight="1" outlineLevel="1"/>
    <row r="36" spans="1:43" ht="15" customHeight="1" outlineLevel="1"/>
    <row r="37" spans="1:43" ht="15" customHeight="1" outlineLevel="1"/>
    <row r="38" spans="1:43" ht="15" customHeight="1" outlineLevel="1"/>
    <row r="39" spans="1:43" ht="15" customHeight="1" outlineLevel="1"/>
    <row r="40" spans="1:43" ht="15" customHeight="1" outlineLevel="1">
      <c r="C40" s="294"/>
      <c r="D40" s="294"/>
      <c r="E40" s="294"/>
      <c r="F40" s="294"/>
      <c r="G40" s="294"/>
      <c r="H40" s="294"/>
      <c r="I40" s="294"/>
      <c r="J40" s="294"/>
      <c r="K40" s="294"/>
      <c r="L40" s="294"/>
      <c r="M40" s="294"/>
      <c r="N40" s="294"/>
      <c r="O40" s="294"/>
      <c r="P40" s="294"/>
      <c r="Q40" s="294"/>
    </row>
    <row r="41" spans="1:43" ht="15" customHeight="1"/>
    <row r="42" spans="1:43" ht="15" customHeight="1">
      <c r="A42" s="299" t="s">
        <v>39</v>
      </c>
      <c r="B42"/>
      <c r="C42" s="653" t="s">
        <v>209</v>
      </c>
      <c r="D42" s="654"/>
      <c r="E42" s="654"/>
      <c r="F42" s="655"/>
      <c r="G42" s="654"/>
      <c r="H42" s="654"/>
      <c r="I42" s="654"/>
      <c r="J42" s="654"/>
      <c r="K42" s="654"/>
      <c r="L42" s="654"/>
      <c r="M42" s="654"/>
      <c r="N42" s="654"/>
      <c r="O42" s="654"/>
      <c r="P42" s="654"/>
      <c r="Q42" s="655"/>
    </row>
    <row r="43" spans="1:43" ht="15" customHeight="1" outlineLevel="1">
      <c r="A43" s="299"/>
      <c r="B43"/>
      <c r="C43" s="10" t="str">
        <f>$C$16</f>
        <v>Model Running: Base Case Drivers</v>
      </c>
      <c r="D43" s="161"/>
      <c r="E43" s="161"/>
      <c r="F43" s="323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323"/>
      <c r="T43" s="321"/>
      <c r="U43" s="321"/>
      <c r="V43" s="321"/>
      <c r="W43" s="321"/>
    </row>
    <row r="44" spans="1:43" ht="15" outlineLevel="1">
      <c r="B44"/>
      <c r="C44"/>
      <c r="D44"/>
      <c r="E44"/>
      <c r="F44"/>
      <c r="G44"/>
      <c r="H44"/>
      <c r="I44"/>
      <c r="J44"/>
    </row>
    <row r="45" spans="1:43" ht="16" outlineLevel="1" thickBot="1">
      <c r="B45"/>
      <c r="C45" s="671" t="s">
        <v>221</v>
      </c>
      <c r="D45" s="671"/>
      <c r="E45" s="671"/>
      <c r="F45" s="671"/>
      <c r="G45" s="672"/>
      <c r="H45" s="672"/>
      <c r="I45" s="672"/>
      <c r="J45"/>
      <c r="K45" s="671" t="s">
        <v>154</v>
      </c>
      <c r="L45" s="671"/>
      <c r="M45" s="671"/>
      <c r="N45" s="671"/>
      <c r="O45" s="671"/>
      <c r="P45" s="671"/>
      <c r="Q45" s="671"/>
      <c r="S45" s="66"/>
    </row>
    <row r="46" spans="1:43" ht="15" outlineLevel="1">
      <c r="B46"/>
      <c r="C46"/>
      <c r="D46"/>
      <c r="E46"/>
      <c r="F46"/>
      <c r="G46"/>
      <c r="H46"/>
      <c r="I46"/>
      <c r="J46"/>
      <c r="K46"/>
      <c r="L46"/>
    </row>
    <row r="47" spans="1:43" ht="20" outlineLevel="1" thickBot="1">
      <c r="B47"/>
      <c r="C47"/>
      <c r="T47" s="671" t="s">
        <v>140</v>
      </c>
      <c r="U47" s="671"/>
      <c r="V47" s="672" t="s">
        <v>142</v>
      </c>
      <c r="W47" s="672" t="s">
        <v>143</v>
      </c>
      <c r="X47" s="672" t="s">
        <v>144</v>
      </c>
      <c r="AA47" s="532" t="s">
        <v>111</v>
      </c>
      <c r="AB47" s="612" t="s">
        <v>55</v>
      </c>
      <c r="AC47" s="673" t="s">
        <v>112</v>
      </c>
      <c r="AE47" s="300"/>
      <c r="AF47" s="300"/>
      <c r="AG47" s="374" t="s">
        <v>212</v>
      </c>
      <c r="AH47" s="375"/>
      <c r="AI47" s="300"/>
      <c r="AJ47" s="300"/>
      <c r="AK47" s="300"/>
      <c r="AL47" s="300"/>
      <c r="AM47" s="300"/>
      <c r="AN47" s="300"/>
      <c r="AO47" s="300"/>
      <c r="AP47" s="300"/>
      <c r="AQ47" s="300"/>
    </row>
    <row r="48" spans="1:43" ht="15" customHeight="1" outlineLevel="1">
      <c r="B48"/>
      <c r="C48"/>
      <c r="D48"/>
      <c r="E48"/>
      <c r="F48"/>
      <c r="G48"/>
      <c r="H48"/>
      <c r="I48"/>
      <c r="J48"/>
      <c r="T48" s="322" t="s">
        <v>195</v>
      </c>
      <c r="U48" s="336">
        <f>'Transaction Assumptions'!J11</f>
        <v>4303479.8869542982</v>
      </c>
      <c r="V48" s="214"/>
      <c r="W48" s="214"/>
      <c r="X48" s="214"/>
      <c r="AA48" s="476">
        <f>Model!D405</f>
        <v>1</v>
      </c>
      <c r="AB48" s="205" t="str">
        <f>Model!E405</f>
        <v>NA</v>
      </c>
      <c r="AC48" s="235">
        <f>Model!F405</f>
        <v>-0.31935964878024037</v>
      </c>
      <c r="AE48" s="300"/>
      <c r="AF48" s="300"/>
      <c r="AG48" s="376"/>
      <c r="AH48" s="376"/>
      <c r="AI48" s="300"/>
      <c r="AJ48" s="300"/>
      <c r="AK48" s="300"/>
      <c r="AL48" s="300"/>
      <c r="AM48" s="300"/>
      <c r="AN48" s="300"/>
      <c r="AO48" s="300"/>
      <c r="AP48" s="300"/>
      <c r="AQ48" s="300"/>
    </row>
    <row r="49" spans="1:43" ht="15" customHeight="1" outlineLevel="1">
      <c r="B49"/>
      <c r="C49"/>
      <c r="D49"/>
      <c r="E49"/>
      <c r="F49"/>
      <c r="G49"/>
      <c r="H49"/>
      <c r="I49"/>
      <c r="J49"/>
      <c r="T49" s="129" t="s">
        <v>66</v>
      </c>
      <c r="U49" s="336">
        <f>-'Transaction Assumptions'!N10</f>
        <v>-45000</v>
      </c>
      <c r="V49" s="214"/>
      <c r="W49" s="214"/>
      <c r="X49" s="214"/>
      <c r="AA49" s="476">
        <f>Model!D404</f>
        <v>2</v>
      </c>
      <c r="AB49" s="205">
        <f>Model!E404</f>
        <v>-0.66755822040140644</v>
      </c>
      <c r="AC49" s="235">
        <f>Model!F404</f>
        <v>0.11018458306895122</v>
      </c>
      <c r="AE49" s="300"/>
      <c r="AF49" s="300"/>
      <c r="AG49" s="377" t="b">
        <v>1</v>
      </c>
      <c r="AH49" s="376"/>
      <c r="AI49" s="300"/>
      <c r="AJ49" s="384"/>
      <c r="AK49" s="300"/>
      <c r="AL49" s="300"/>
      <c r="AM49" s="300"/>
      <c r="AN49" s="300"/>
      <c r="AO49" s="300"/>
      <c r="AP49" s="300"/>
      <c r="AQ49" s="300"/>
    </row>
    <row r="50" spans="1:43" ht="15" customHeight="1" outlineLevel="1">
      <c r="B50"/>
      <c r="C50"/>
      <c r="D50"/>
      <c r="E50"/>
      <c r="F50"/>
      <c r="G50"/>
      <c r="H50"/>
      <c r="I50"/>
      <c r="J50"/>
      <c r="T50" s="322" t="s">
        <v>426</v>
      </c>
      <c r="U50" s="336">
        <f>X50</f>
        <v>13538384.290870328</v>
      </c>
      <c r="V50" s="214">
        <f>Model!J8*W69</f>
        <v>6086597.695648998</v>
      </c>
      <c r="W50" s="214">
        <f>Model!P377*W70</f>
        <v>19624981.986519326</v>
      </c>
      <c r="X50" s="214">
        <f>+W50-V50</f>
        <v>13538384.290870328</v>
      </c>
      <c r="Y50" s="337"/>
      <c r="AA50" s="476">
        <f>Model!D403</f>
        <v>3</v>
      </c>
      <c r="AB50" s="205">
        <f>Model!E403</f>
        <v>-0.17232964858412742</v>
      </c>
      <c r="AC50" s="235">
        <f>Model!F403</f>
        <v>0.56669209421138456</v>
      </c>
      <c r="AE50" s="300"/>
      <c r="AF50" s="300"/>
      <c r="AG50" s="376"/>
      <c r="AH50" s="376"/>
      <c r="AI50" s="300"/>
      <c r="AJ50" s="300"/>
      <c r="AK50" s="300"/>
      <c r="AL50" s="300"/>
      <c r="AM50" s="300"/>
      <c r="AN50" s="300"/>
      <c r="AO50" s="300"/>
      <c r="AP50" s="300"/>
      <c r="AQ50" s="300"/>
    </row>
    <row r="51" spans="1:43" ht="15" customHeight="1" outlineLevel="1">
      <c r="B51"/>
      <c r="C51"/>
      <c r="D51"/>
      <c r="E51"/>
      <c r="F51"/>
      <c r="G51"/>
      <c r="H51"/>
      <c r="I51"/>
      <c r="J51"/>
      <c r="T51" s="322" t="s">
        <v>196</v>
      </c>
      <c r="U51" s="336">
        <f>+X51*Y51</f>
        <v>0</v>
      </c>
      <c r="V51" s="337">
        <f>'Transaction Assumptions'!C28</f>
        <v>6.3512014504788477</v>
      </c>
      <c r="W51" s="337">
        <f>'Transaction Assumptions'!C29</f>
        <v>6.3512014504788477</v>
      </c>
      <c r="X51" s="337">
        <f>W51-V51</f>
        <v>0</v>
      </c>
      <c r="Y51" s="214"/>
      <c r="AA51" s="476">
        <f>Model!D402</f>
        <v>4</v>
      </c>
      <c r="AB51" s="205">
        <f>Model!E402</f>
        <v>8.5578629374504098E-2</v>
      </c>
      <c r="AC51" s="235">
        <f>Model!F402</f>
        <v>1.3891298615396341</v>
      </c>
      <c r="AE51" s="300"/>
      <c r="AF51" s="300"/>
      <c r="AG51" s="378" t="s">
        <v>213</v>
      </c>
      <c r="AH51" s="376"/>
      <c r="AI51" s="300"/>
      <c r="AJ51" s="300"/>
      <c r="AK51" s="300"/>
      <c r="AL51" s="300"/>
      <c r="AM51" s="300"/>
      <c r="AN51" s="300"/>
      <c r="AO51" s="300"/>
      <c r="AP51" s="300"/>
      <c r="AQ51" s="300"/>
    </row>
    <row r="52" spans="1:43" ht="15" customHeight="1" outlineLevel="1">
      <c r="B52"/>
      <c r="C52"/>
      <c r="D52"/>
      <c r="E52"/>
      <c r="F52"/>
      <c r="G52"/>
      <c r="H52"/>
      <c r="I52"/>
      <c r="J52"/>
      <c r="T52" s="322" t="s">
        <v>197</v>
      </c>
      <c r="U52" s="336">
        <f>+X52</f>
        <v>226599.1319825924</v>
      </c>
      <c r="V52" s="214">
        <f>SUM('Transaction Assumptions'!$J$9:$J$10)-'Transaction Assumptions'!$J$27</f>
        <v>1828117.8086946993</v>
      </c>
      <c r="W52" s="214">
        <f>Model!P384</f>
        <v>1601518.6767121069</v>
      </c>
      <c r="X52" s="214">
        <f>+V52-W52</f>
        <v>226599.1319825924</v>
      </c>
      <c r="Y52" s="336"/>
      <c r="AA52" s="476">
        <f>Model!D401</f>
        <v>5</v>
      </c>
      <c r="AB52" s="205">
        <f>Model!E401</f>
        <v>0.19806692004203796</v>
      </c>
      <c r="AC52" s="235">
        <f>Model!F401</f>
        <v>2.4707876729019249</v>
      </c>
      <c r="AE52" s="300"/>
      <c r="AF52" s="300"/>
      <c r="AG52" s="377">
        <v>2</v>
      </c>
      <c r="AH52" s="376"/>
      <c r="AI52" s="300"/>
      <c r="AJ52" s="384"/>
      <c r="AK52" s="300"/>
      <c r="AL52" s="300"/>
      <c r="AM52" s="300"/>
      <c r="AN52" s="300"/>
      <c r="AO52" s="300"/>
      <c r="AP52" s="300"/>
      <c r="AQ52" s="300"/>
    </row>
    <row r="53" spans="1:43" ht="15" outlineLevel="1">
      <c r="B53"/>
      <c r="C53"/>
      <c r="D53"/>
      <c r="E53"/>
      <c r="F53"/>
      <c r="G53"/>
      <c r="H53"/>
      <c r="I53"/>
      <c r="J53"/>
      <c r="T53" s="288" t="s">
        <v>141</v>
      </c>
      <c r="U53" s="334">
        <f>SUM(U48:U52)</f>
        <v>18023463.309807215</v>
      </c>
      <c r="W53" s="214"/>
      <c r="X53" s="214"/>
      <c r="Y53" s="214"/>
      <c r="AA53" s="476">
        <f>Model!D400</f>
        <v>6</v>
      </c>
      <c r="AB53" s="205">
        <f>Model!E400</f>
        <v>0.26933178305625916</v>
      </c>
      <c r="AC53" s="235">
        <f>Model!F400</f>
        <v>4.1881137552063628</v>
      </c>
      <c r="AE53" s="300"/>
      <c r="AF53" s="300"/>
      <c r="AG53" s="376"/>
      <c r="AH53" s="376"/>
      <c r="AI53" s="300"/>
      <c r="AJ53" s="300"/>
      <c r="AK53" s="300"/>
      <c r="AL53" s="300"/>
      <c r="AM53" s="300"/>
      <c r="AN53" s="300"/>
      <c r="AO53" s="300"/>
      <c r="AP53" s="300"/>
      <c r="AQ53" s="300"/>
    </row>
    <row r="54" spans="1:43" ht="15" outlineLevel="1">
      <c r="B54"/>
      <c r="C54"/>
      <c r="D54"/>
      <c r="E54"/>
      <c r="F54"/>
      <c r="G54"/>
      <c r="H54"/>
      <c r="I54"/>
      <c r="J54"/>
      <c r="T54" s="288"/>
      <c r="U54" s="289"/>
      <c r="V54" s="290"/>
      <c r="W54" s="214"/>
      <c r="X54" s="214"/>
      <c r="Y54" s="214"/>
      <c r="Z54" s="287"/>
      <c r="AA54" s="476">
        <f>Model!D399</f>
        <v>7</v>
      </c>
      <c r="AB54" s="205">
        <f>Model!E399</f>
        <v>0.28736649155616767</v>
      </c>
      <c r="AC54" s="235">
        <f>Model!F399</f>
        <v>5.8683566844625323</v>
      </c>
      <c r="AE54" s="300"/>
      <c r="AF54" s="300"/>
      <c r="AG54" s="300"/>
      <c r="AH54" s="300"/>
      <c r="AI54" s="300"/>
      <c r="AJ54" s="300"/>
      <c r="AK54" s="300"/>
      <c r="AL54" s="300"/>
      <c r="AM54" s="300"/>
      <c r="AN54" s="300"/>
      <c r="AO54" s="300"/>
      <c r="AP54" s="300"/>
      <c r="AQ54" s="300"/>
    </row>
    <row r="55" spans="1:43" ht="14.5" customHeight="1" outlineLevel="1" thickBot="1">
      <c r="T55" s="129" t="s">
        <v>155</v>
      </c>
      <c r="U55" s="270">
        <f>IF(ROUND(U53-Model!P389,3)=0,0,1)</f>
        <v>0</v>
      </c>
      <c r="W55" s="295"/>
      <c r="X55" s="214"/>
      <c r="Y55" s="214"/>
      <c r="Z55" s="287"/>
      <c r="AA55" s="476">
        <f>Model!D398</f>
        <v>8</v>
      </c>
      <c r="AB55" s="205">
        <f>Model!E398</f>
        <v>0.27875568270683293</v>
      </c>
      <c r="AC55" s="235">
        <f>Model!F398</f>
        <v>7.1595505619228046</v>
      </c>
      <c r="AE55" s="674"/>
      <c r="AF55" s="674"/>
      <c r="AG55" s="675"/>
      <c r="AH55" s="383" t="s">
        <v>225</v>
      </c>
      <c r="AI55" s="383" t="s">
        <v>214</v>
      </c>
      <c r="AJ55" s="383" t="s">
        <v>161</v>
      </c>
      <c r="AK55" s="383" t="s">
        <v>160</v>
      </c>
      <c r="AL55" s="383" t="s">
        <v>215</v>
      </c>
      <c r="AM55" s="383" t="s">
        <v>216</v>
      </c>
      <c r="AN55" s="383" t="s">
        <v>217</v>
      </c>
      <c r="AO55" s="383" t="s">
        <v>218</v>
      </c>
      <c r="AP55" s="383" t="s">
        <v>219</v>
      </c>
      <c r="AQ55" s="383" t="s">
        <v>220</v>
      </c>
    </row>
    <row r="56" spans="1:43" ht="15" outlineLevel="1">
      <c r="X56" s="286"/>
      <c r="Y56" s="214"/>
      <c r="Z56" s="214"/>
      <c r="AA56" s="476">
        <f>Model!D397</f>
        <v>9</v>
      </c>
      <c r="AB56" s="205">
        <f>Model!E397</f>
        <v>0.27113149762153621</v>
      </c>
      <c r="AC56" s="235">
        <f>Model!F397</f>
        <v>8.6810182537254992</v>
      </c>
      <c r="AE56" s="380" t="str">
        <f>Outputs!T48</f>
        <v>Beginning 
Equity</v>
      </c>
      <c r="AF56" s="300"/>
      <c r="AG56" s="300"/>
      <c r="AH56" s="382">
        <f>Outputs!U48/1000</f>
        <v>4303.4798869542983</v>
      </c>
      <c r="AI56" s="382">
        <f ca="1">IF(OR(LEN(AH56)=0,AND(ROW()=ROW($AF$56:$AF$61),Outputs!$AG$49)),AM56,"")</f>
        <v>4303.4798869542983</v>
      </c>
      <c r="AJ56" s="382" t="e">
        <f>IF(OR(LEN(AH56)=0,AND(ROW()=ROW($AF$56:$AF$61),Outputs!$AG$49),ROW()=ROW($AF$56:$AF$61)+ROWS($AL$56:$AL$61)-1),NA(),AM56-AH56)</f>
        <v>#N/A</v>
      </c>
      <c r="AK56" s="382" t="e">
        <f>IF(OR(LEN(AH56)=0,AND(ROW()=ROW($AF$56:$AF$61),Outputs!$AG$49),ROW()=ROW($AF$56:$AF$61)+ROWS($AL$56:$AL$61)-1),NA(),AM56)</f>
        <v>#N/A</v>
      </c>
      <c r="AL56" s="382">
        <f t="shared" ref="AL56:AL61" ca="1" si="0">IF(ROW()=ROW($AF$56:$AF$61),1.5,IF(ROW()=ROW($AF$56:$AF$61)+ROWS($AL$56:$AL$61)-1,NA(),OFFSET(AL56,-1,0)+1))</f>
        <v>1.5</v>
      </c>
      <c r="AM56" s="382">
        <f ca="1">IF(ROW()=ROW($AF$56:$AF$61),0,OFFSET(AM56,-1,0))+IF(LEN(AH56)&gt;0,AH56,0)</f>
        <v>4303.4798869542983</v>
      </c>
      <c r="AN56" s="382" t="e">
        <f>IF(Outputs!$AG$52=1,IF(LEN(AI56)&gt;0,AI56/2,AVERAGE(AJ56,AK56)),NA())</f>
        <v>#N/A</v>
      </c>
      <c r="AO56" s="382">
        <f ca="1">IF(OR(Outputs!$AG$52=3,AND(Outputs!$AG$52=2,OR(AND(LEN(AI56)&gt;0,AM56&gt;0),AND(LEN(AH56)&gt;0,AH56&gt;0)))),IF(LEN(AI56)&gt;0,MAX(0,AM56),MAX(AJ56,AK56)),NA())</f>
        <v>4303.4798869542983</v>
      </c>
      <c r="AP56" s="382" t="e">
        <f ca="1">IF(Outputs!$AG$52=2,IF(LEN(AI56)&gt;0,IF(AI56&lt;0,AI56,NA()),IF(LEN(AH56)&gt;0,IF(AH56&lt;0,MIN(AJ56,AK56),NA()),NA())),NA())</f>
        <v>#N/A</v>
      </c>
      <c r="AQ56" s="382">
        <f>IF(LEN(AH56)&gt;0,AH56,AI56)</f>
        <v>4303.4798869542983</v>
      </c>
    </row>
    <row r="57" spans="1:43" ht="15" outlineLevel="1">
      <c r="X57" s="296"/>
      <c r="Y57" s="214"/>
      <c r="Z57" s="214"/>
      <c r="AA57" s="476">
        <f>Model!D396</f>
        <v>10</v>
      </c>
      <c r="AB57" s="205">
        <f>Model!E396</f>
        <v>0.25485952496528608</v>
      </c>
      <c r="AC57" s="235">
        <f>Model!F396</f>
        <v>9.6997713835541486</v>
      </c>
      <c r="AE57" s="380" t="str">
        <f>Outputs!T49</f>
        <v>Fees</v>
      </c>
      <c r="AF57" s="300"/>
      <c r="AG57" s="300"/>
      <c r="AH57" s="382">
        <f>Outputs!U49/1000</f>
        <v>-45</v>
      </c>
      <c r="AI57" s="382" t="str">
        <f>IF(OR(LEN(AH57)=0,AND(ROW()=ROW($AF$56:$AF$61),Outputs!$AG$49)),AM57,"")</f>
        <v/>
      </c>
      <c r="AJ57" s="382">
        <f ca="1">IF(OR(LEN(AH57)=0,AND(ROW()=ROW($AF$56:$AF$61),Outputs!$AG$49),ROW()=ROW($AF$56:$AF$61)+ROWS($AL$56:$AL$61)-1),NA(),AM57-AH57)</f>
        <v>4303.4798869542983</v>
      </c>
      <c r="AK57" s="382">
        <f ca="1">IF(OR(LEN(AH57)=0,AND(ROW()=ROW($AF$56:$AF$61),Outputs!$AG$49),ROW()=ROW($AF$56:$AF$61)+ROWS($AL$56:$AL$61)-1),NA(),AM57)</f>
        <v>4258.4798869542983</v>
      </c>
      <c r="AL57" s="382">
        <f t="shared" ca="1" si="0"/>
        <v>2.5</v>
      </c>
      <c r="AM57" s="382">
        <f ca="1">IF(ROW()=ROW($AF$56:$AF$61),0,OFFSET(AM57,-1,0))+IF(LEN(AH57)&gt;0,AH57,0)</f>
        <v>4258.4798869542983</v>
      </c>
      <c r="AN57" s="382" t="e">
        <f>IF(Outputs!$AG$52=1,IF(LEN(AI57)&gt;0,AI57/2,AVERAGE(AJ57,AK57)),NA())</f>
        <v>#N/A</v>
      </c>
      <c r="AO57" s="382" t="e">
        <f ca="1">IF(OR(Outputs!$AG$52=3,AND(Outputs!$AG$52=2,OR(AND(LEN(AI57)&gt;0,AM57&gt;0),AND(LEN(AH57)&gt;0,AH57&gt;0)))),IF(LEN(AI57)&gt;0,MAX(0,AM57),MAX(AJ57,AK57)),NA())</f>
        <v>#N/A</v>
      </c>
      <c r="AP57" s="382">
        <f ca="1">IF(Outputs!$AG$52=2,IF(LEN(AI57)&gt;0,IF(AI57&lt;0,AI57,NA()),IF(LEN(AH57)&gt;0,IF(AH57&lt;0,MIN(AJ57,AK57),NA()),NA())),NA())</f>
        <v>4258.4798869542983</v>
      </c>
      <c r="AQ57" s="382">
        <f>IF(LEN(AH57)&gt;0,AH57,AI57)</f>
        <v>-45</v>
      </c>
    </row>
    <row r="58" spans="1:43" ht="14.5" customHeight="1" outlineLevel="1">
      <c r="X58" s="286"/>
      <c r="Y58" s="312"/>
      <c r="Z58" s="312"/>
      <c r="AE58" s="380" t="str">
        <f>Outputs!T50</f>
        <v>EBITDA Growth</v>
      </c>
      <c r="AF58" s="300"/>
      <c r="AG58" s="300"/>
      <c r="AH58" s="382">
        <f>Outputs!U50/1000</f>
        <v>13538.384290870328</v>
      </c>
      <c r="AI58" s="382" t="str">
        <f>IF(OR(LEN(AH58)=0,AND(ROW()=ROW($AF$56:$AF$61),Outputs!$AG$49)),AM58,"")</f>
        <v/>
      </c>
      <c r="AJ58" s="382">
        <f ca="1">IF(OR(LEN(AH58)=0,AND(ROW()=ROW($AF$56:$AF$61),Outputs!$AG$49),ROW()=ROW($AF$56:$AF$61)+ROWS($AL$56:$AL$61)-1),NA(),AM58-AH58)</f>
        <v>4258.4798869542992</v>
      </c>
      <c r="AK58" s="382">
        <f ca="1">IF(OR(LEN(AH58)=0,AND(ROW()=ROW($AF$56:$AF$61),Outputs!$AG$49),ROW()=ROW($AF$56:$AF$61)+ROWS($AL$56:$AL$61)-1),NA(),AM58)</f>
        <v>17796.864177824627</v>
      </c>
      <c r="AL58" s="382">
        <f t="shared" ca="1" si="0"/>
        <v>3.5</v>
      </c>
      <c r="AM58" s="382">
        <f ca="1">IF(ROW()=ROW($AF$56:$AF$61),0,OFFSET(AM58,-1,0))+IF(LEN(AH58)&gt;0,AH58,0)</f>
        <v>17796.864177824627</v>
      </c>
      <c r="AN58" s="382" t="e">
        <f>IF(Outputs!$AG$52=1,IF(LEN(AI58)&gt;0,AI58/2,AVERAGE(AJ58,AK58)),NA())</f>
        <v>#N/A</v>
      </c>
      <c r="AO58" s="382">
        <f ca="1">IF(OR(Outputs!$AG$52=3,AND(Outputs!$AG$52=2,OR(AND(LEN(AI58)&gt;0,AM58&gt;0),AND(LEN(AH58)&gt;0,AH58&gt;0)))),IF(LEN(AI58)&gt;0,MAX(0,AM58),MAX(AJ58,AK58)),NA())</f>
        <v>17796.864177824627</v>
      </c>
      <c r="AP58" s="382" t="e">
        <f>IF(Outputs!$AG$52=2,IF(LEN(AI58)&gt;0,IF(AI58&lt;0,AI58,NA()),IF(LEN(AH58)&gt;0,IF(AH58&lt;0,MIN(AJ58,AK58),NA()),NA())),NA())</f>
        <v>#N/A</v>
      </c>
      <c r="AQ58" s="382">
        <f>IF(LEN(AH58)&gt;0,AH58,AI58)</f>
        <v>13538.384290870328</v>
      </c>
    </row>
    <row r="59" spans="1:43" ht="14.5" customHeight="1" outlineLevel="1">
      <c r="Y59"/>
      <c r="Z59"/>
      <c r="AE59" s="380" t="str">
        <f>Outputs!T51</f>
        <v>Multiple 
Expansion</v>
      </c>
      <c r="AF59" s="300"/>
      <c r="AG59" s="300"/>
      <c r="AH59" s="382">
        <f>Outputs!U51/1000</f>
        <v>0</v>
      </c>
      <c r="AI59" s="382" t="str">
        <f>IF(OR(LEN(AH59)=0,AND(ROW()=ROW($AF$56:$AF$61),Outputs!$AG$49)),AM59,"")</f>
        <v/>
      </c>
      <c r="AJ59" s="382">
        <f ca="1">IF(OR(LEN(AH59)=0,AND(ROW()=ROW($AF$56:$AF$61),Outputs!$AG$49),ROW()=ROW($AF$56:$AF$61)+ROWS($AL$56:$AL$61)-1),NA(),AM59-AH59)</f>
        <v>17796.864177824627</v>
      </c>
      <c r="AK59" s="382">
        <f ca="1">IF(OR(LEN(AH59)=0,AND(ROW()=ROW($AF$56:$AF$61),Outputs!$AG$49),ROW()=ROW($AF$56:$AF$61)+ROWS($AL$56:$AL$61)-1),NA(),AM59)</f>
        <v>17796.864177824627</v>
      </c>
      <c r="AL59" s="382">
        <f t="shared" ca="1" si="0"/>
        <v>4.5</v>
      </c>
      <c r="AM59" s="382">
        <f ca="1">IF(ROW()=ROW($AF$56:$AF$61),0,OFFSET(AM59,-1,0))+IF(LEN(AH59)&gt;0,AH59,0)</f>
        <v>17796.864177824627</v>
      </c>
      <c r="AN59" s="382" t="e">
        <f>IF(Outputs!$AG$52=1,IF(LEN(AI59)&gt;0,AI59/2,AVERAGE(AJ59,AK59)),NA())</f>
        <v>#N/A</v>
      </c>
      <c r="AO59" s="382" t="e">
        <f ca="1">IF(OR(Outputs!$AG$52=3,AND(Outputs!$AG$52=2,OR(AND(LEN(AI59)&gt;0,AM59&gt;0),AND(LEN(AH59)&gt;0,AH59&gt;0)))),IF(LEN(AI59)&gt;0,MAX(0,AM59),MAX(AJ59,AK59)),NA())</f>
        <v>#N/A</v>
      </c>
      <c r="AP59" s="382" t="e">
        <f>IF(Outputs!$AG$52=2,IF(LEN(AI59)&gt;0,IF(AI59&lt;0,AI59,NA()),IF(LEN(AH59)&gt;0,IF(AH59&lt;0,MIN(AJ59,AK59),NA()),NA())),NA())</f>
        <v>#N/A</v>
      </c>
      <c r="AQ59" s="382">
        <f>IF(LEN(AH59)&gt;0,AH59,AI59)</f>
        <v>0</v>
      </c>
    </row>
    <row r="60" spans="1:43" ht="15" outlineLevel="1">
      <c r="Y60"/>
      <c r="Z60"/>
      <c r="AE60" s="380" t="str">
        <f>Outputs!T52</f>
        <v>Net Debt 
Paydown</v>
      </c>
      <c r="AF60" s="300"/>
      <c r="AG60" s="300"/>
      <c r="AH60" s="382">
        <f>Outputs!U52/1000</f>
        <v>226.59913198259241</v>
      </c>
      <c r="AI60" s="382" t="str">
        <f>IF(OR(LEN(AH60)=0,AND(ROW()=ROW($AF$56:$AF$61),Outputs!$AG$49)),AM60,"")</f>
        <v/>
      </c>
      <c r="AJ60" s="382">
        <f ca="1">IF(OR(LEN(AH60)=0,AND(ROW()=ROW($AF$56:$AF$61),Outputs!$AG$49),ROW()=ROW($AF$56:$AF$61)+ROWS($AL$56:$AL$61)-1),NA(),AM60-AH60)</f>
        <v>17796.864177824627</v>
      </c>
      <c r="AK60" s="382">
        <f ca="1">IF(OR(LEN(AH60)=0,AND(ROW()=ROW($AF$56:$AF$61),Outputs!$AG$49),ROW()=ROW($AF$56:$AF$61)+ROWS($AL$56:$AL$61)-1),NA(),AM60)</f>
        <v>18023.463309807219</v>
      </c>
      <c r="AL60" s="382">
        <f t="shared" ca="1" si="0"/>
        <v>5.5</v>
      </c>
      <c r="AM60" s="382">
        <f ca="1">IF(ROW()=ROW($AF$56:$AF$61),0,OFFSET(AM60,-1,0))+IF(LEN(AH60)&gt;0,AH60,0)</f>
        <v>18023.463309807219</v>
      </c>
      <c r="AN60" s="382" t="e">
        <f>IF(Outputs!$AG$52=1,IF(LEN(AI60)&gt;0,AI60/2,AVERAGE(AJ60,AK60)),NA())</f>
        <v>#N/A</v>
      </c>
      <c r="AO60" s="382">
        <f ca="1">IF(OR(Outputs!$AG$52=3,AND(Outputs!$AG$52=2,OR(AND(LEN(AI60)&gt;0,AM60&gt;0),AND(LEN(AH60)&gt;0,AH60&gt;0)))),IF(LEN(AI60)&gt;0,MAX(0,AM60),MAX(AJ60,AK60)),NA())</f>
        <v>18023.463309807219</v>
      </c>
      <c r="AP60" s="382" t="e">
        <f>IF(Outputs!$AG$52=2,IF(LEN(AI60)&gt;0,IF(AI60&lt;0,AI60,NA()),IF(LEN(AH60)&gt;0,IF(AH60&lt;0,MIN(AJ60,AK60),NA()),NA())),NA())</f>
        <v>#N/A</v>
      </c>
      <c r="AQ60" s="382">
        <f>IF(LEN(AH60)&gt;0,AH60,AI60)</f>
        <v>226.59913198259241</v>
      </c>
    </row>
    <row r="61" spans="1:43" ht="15" outlineLevel="1">
      <c r="X61" s="286"/>
      <c r="Y61" s="312"/>
      <c r="Z61"/>
      <c r="AE61" s="380" t="str">
        <f>Outputs!T53</f>
        <v>Ending Equity</v>
      </c>
      <c r="AF61" s="379"/>
      <c r="AG61" s="300"/>
      <c r="AH61" s="381"/>
      <c r="AI61" s="382">
        <f ca="1">IF(OR(LEN(AF61)=0,AND(ROW()=ROW($AF$56:$AF$61),Outputs!$AG$49)),AM61,"")</f>
        <v>18023.463309807219</v>
      </c>
      <c r="AJ61" s="382" t="e">
        <f>IF(OR(LEN(AF61)=0,AND(ROW()=ROW($AF$56:$AF$61),Outputs!$AG$49),ROW()=ROW($AF$56:$AF$61)+ROWS($AL$56:$AL$61)-1),NA(),AM61-AF61)</f>
        <v>#N/A</v>
      </c>
      <c r="AK61" s="382" t="e">
        <f>IF(OR(LEN(AF61)=0,AND(ROW()=ROW($AF$56:$AF$61),Outputs!$AG$49),ROW()=ROW($AF$56:$AF$61)+ROWS($AL$56:$AL$61)-1),NA(),AM61)</f>
        <v>#N/A</v>
      </c>
      <c r="AL61" s="382" t="e">
        <f t="shared" ca="1" si="0"/>
        <v>#N/A</v>
      </c>
      <c r="AM61" s="382">
        <f ca="1">IF(ROW()=ROW($AF$56:$AF$61),0,OFFSET(AM61,-1,0))+IF(LEN(AF61)&gt;0,AF61,0)</f>
        <v>18023.463309807219</v>
      </c>
      <c r="AN61" s="382" t="e">
        <f>IF(Outputs!$AG$52=1,IF(LEN(AI61)&gt;0,AI61/2,AVERAGE(AJ61,AK61)),NA())</f>
        <v>#N/A</v>
      </c>
      <c r="AO61" s="382">
        <f ca="1">IF(OR(Outputs!$AG$52=3,AND(Outputs!$AG$52=2,OR(AND(LEN(AI61)&gt;0,AM61&gt;0),AND(LEN(AF61)&gt;0,AF61&gt;0)))),IF(LEN(AI61)&gt;0,MAX(0,AM61),MAX(AJ61,AK61)),NA())</f>
        <v>18023.463309807219</v>
      </c>
      <c r="AP61" s="382" t="e">
        <f ca="1">IF(Outputs!$AG$52=2,IF(LEN(AI61)&gt;0,IF(AI61&lt;0,AI61,NA()),IF(LEN(AF61)&gt;0,IF(AF61&lt;0,MIN(AJ61,AK61),NA()),NA())),NA())</f>
        <v>#N/A</v>
      </c>
      <c r="AQ61" s="382">
        <f ca="1">IF(LEN(AF61)&gt;0,AF61,AI61)</f>
        <v>18023.463309807219</v>
      </c>
    </row>
    <row r="62" spans="1:43" ht="15">
      <c r="D62"/>
      <c r="E62"/>
      <c r="F62"/>
      <c r="G62"/>
      <c r="H62"/>
      <c r="I62"/>
      <c r="J62"/>
      <c r="K62"/>
      <c r="Y62"/>
      <c r="Z62"/>
    </row>
    <row r="63" spans="1:43" ht="15" customHeight="1">
      <c r="A63" s="299" t="s">
        <v>39</v>
      </c>
      <c r="C63" s="653" t="s">
        <v>210</v>
      </c>
      <c r="D63" s="654"/>
      <c r="E63" s="654"/>
      <c r="F63" s="655"/>
      <c r="G63" s="654"/>
      <c r="H63" s="654"/>
      <c r="I63" s="654"/>
      <c r="J63" s="654"/>
      <c r="K63" s="654"/>
      <c r="L63" s="654"/>
      <c r="M63" s="654"/>
      <c r="N63" s="654"/>
      <c r="O63" s="654"/>
      <c r="P63" s="654"/>
      <c r="Q63" s="655"/>
      <c r="S63" s="161"/>
      <c r="X63" s="65"/>
      <c r="Y63" s="66"/>
      <c r="Z63" s="65"/>
      <c r="AA63" s="66"/>
    </row>
    <row r="64" spans="1:43" ht="15" customHeight="1" outlineLevel="1"/>
    <row r="65" spans="3:24" ht="15" outlineLevel="1" thickBot="1">
      <c r="C65" s="532" t="s">
        <v>57</v>
      </c>
      <c r="D65" s="532"/>
      <c r="E65" s="612"/>
      <c r="F65" s="612"/>
      <c r="G65" s="532"/>
      <c r="H65" s="612"/>
      <c r="I65" s="612"/>
      <c r="J65" s="59"/>
      <c r="K65" s="532" t="s">
        <v>58</v>
      </c>
      <c r="L65" s="532"/>
      <c r="M65" s="612"/>
      <c r="N65" s="612"/>
      <c r="O65" s="532"/>
      <c r="P65" s="612"/>
      <c r="Q65" s="612"/>
      <c r="X65" s="145"/>
    </row>
    <row r="66" spans="3:24" ht="27" customHeight="1" outlineLevel="1">
      <c r="C66" s="682" t="s">
        <v>430</v>
      </c>
      <c r="D66" s="682" t="s">
        <v>429</v>
      </c>
      <c r="E66" s="683" t="s">
        <v>431</v>
      </c>
      <c r="F66" s="677"/>
      <c r="G66" s="677"/>
      <c r="H66" s="677"/>
      <c r="I66" s="679"/>
      <c r="J66" s="59"/>
      <c r="K66" s="682" t="s">
        <v>430</v>
      </c>
      <c r="L66" s="682" t="s">
        <v>429</v>
      </c>
      <c r="M66" s="683" t="s">
        <v>431</v>
      </c>
      <c r="N66" s="678"/>
      <c r="O66" s="678"/>
      <c r="P66" s="678"/>
      <c r="Q66" s="678"/>
      <c r="X66" s="145"/>
    </row>
    <row r="67" spans="3:24" ht="15.75" customHeight="1" outlineLevel="1" thickBot="1">
      <c r="C67" s="694"/>
      <c r="D67" s="695">
        <f>$I$20</f>
        <v>0.26933178305625916</v>
      </c>
      <c r="E67" s="685">
        <f>F67-0.5</f>
        <v>19</v>
      </c>
      <c r="F67" s="685">
        <f>G67-0.5</f>
        <v>19.5</v>
      </c>
      <c r="G67" s="685">
        <f>'Transaction Assumptions'!C31</f>
        <v>20</v>
      </c>
      <c r="H67" s="685">
        <f>+G67+0.5</f>
        <v>20.5</v>
      </c>
      <c r="I67" s="685">
        <f>+H67+0.5</f>
        <v>21</v>
      </c>
      <c r="J67" s="68"/>
      <c r="K67" s="681"/>
      <c r="L67" s="689">
        <f>$O$20</f>
        <v>4.1881137552063628</v>
      </c>
      <c r="M67" s="690">
        <f>E67</f>
        <v>19</v>
      </c>
      <c r="N67" s="690">
        <f>F67</f>
        <v>19.5</v>
      </c>
      <c r="O67" s="690">
        <f>G67</f>
        <v>20</v>
      </c>
      <c r="P67" s="690">
        <f>H67</f>
        <v>20.5</v>
      </c>
      <c r="Q67" s="690">
        <f>I67</f>
        <v>21</v>
      </c>
      <c r="T67" s="671" t="s">
        <v>56</v>
      </c>
      <c r="U67" s="671"/>
      <c r="V67" s="671"/>
      <c r="W67" s="672"/>
    </row>
    <row r="68" spans="3:24" ht="15" customHeight="1" outlineLevel="1">
      <c r="C68" s="684">
        <v>19</v>
      </c>
      <c r="D68" s="680">
        <f>D69-0.5</f>
        <v>5.3512014504788477</v>
      </c>
      <c r="E68" s="686">
        <f t="dataTable" ref="E68:I72" dt2D="1" dtr="1" r1="W70" r2="W69"/>
        <v>0.29910263419151317</v>
      </c>
      <c r="F68" s="686">
        <v>0.30510216355323783</v>
      </c>
      <c r="G68" s="686">
        <v>0.31096673607826242</v>
      </c>
      <c r="H68" s="686">
        <v>0.31670286059379582</v>
      </c>
      <c r="I68" s="686">
        <v>0.3223165690898897</v>
      </c>
      <c r="J68" s="68"/>
      <c r="K68" s="684">
        <v>19</v>
      </c>
      <c r="L68" s="680">
        <f>D68</f>
        <v>5.3512014504788477</v>
      </c>
      <c r="M68" s="691">
        <f t="dataTable" ref="M68:Q72" dt2D="1" dtr="1" r1="W70" r2="W69" ca="1"/>
        <v>4.8137494692682603</v>
      </c>
      <c r="N68" s="691">
        <v>4.9488093997120055</v>
      </c>
      <c r="O68" s="691">
        <v>5.0838693301557489</v>
      </c>
      <c r="P68" s="691">
        <v>5.2189292605994941</v>
      </c>
      <c r="Q68" s="691">
        <v>5.3539891910432384</v>
      </c>
      <c r="X68" s="68"/>
    </row>
    <row r="69" spans="3:24" ht="15" customHeight="1" outlineLevel="1">
      <c r="C69" s="684">
        <v>19.5</v>
      </c>
      <c r="D69" s="680">
        <f>D70-0.5</f>
        <v>5.8512014504788477</v>
      </c>
      <c r="E69" s="686">
        <v>0.27743133902549744</v>
      </c>
      <c r="F69" s="687">
        <v>0.28340536952018747</v>
      </c>
      <c r="G69" s="687">
        <v>0.28924337029457092</v>
      </c>
      <c r="H69" s="687">
        <v>0.29495196938514723</v>
      </c>
      <c r="I69" s="687">
        <v>0.3005373060703278</v>
      </c>
      <c r="J69" s="68"/>
      <c r="K69" s="684">
        <v>19.5</v>
      </c>
      <c r="L69" s="680">
        <f>D69</f>
        <v>5.8512014504788477</v>
      </c>
      <c r="M69" s="691">
        <v>4.3511901327692453</v>
      </c>
      <c r="N69" s="692">
        <v>4.4748335135262369</v>
      </c>
      <c r="O69" s="692">
        <v>4.5984768942832286</v>
      </c>
      <c r="P69" s="692">
        <v>4.7221202750402202</v>
      </c>
      <c r="Q69" s="692">
        <v>4.8457636557972119</v>
      </c>
      <c r="T69" s="257" t="s">
        <v>367</v>
      </c>
      <c r="U69" s="242"/>
      <c r="V69" s="242"/>
      <c r="W69" s="546">
        <f>'Transaction Assumptions'!C28</f>
        <v>6.3512014504788477</v>
      </c>
      <c r="X69" s="68"/>
    </row>
    <row r="70" spans="3:24" ht="15" customHeight="1" outlineLevel="1">
      <c r="C70" s="684">
        <v>20</v>
      </c>
      <c r="D70" s="680">
        <f>'Transaction Assumptions'!C28</f>
        <v>6.3512014504788477</v>
      </c>
      <c r="E70" s="686">
        <v>0.25755450129508972</v>
      </c>
      <c r="F70" s="687">
        <v>0.26351181864738471</v>
      </c>
      <c r="G70" s="688">
        <v>0.26933178305625916</v>
      </c>
      <c r="H70" s="687">
        <v>0.27502116560935974</v>
      </c>
      <c r="I70" s="687">
        <v>0.28058623671531668</v>
      </c>
      <c r="J70" s="68"/>
      <c r="K70" s="684">
        <v>20</v>
      </c>
      <c r="L70" s="680">
        <f>D70</f>
        <v>6.3512014504788477</v>
      </c>
      <c r="M70" s="691">
        <v>3.9601008156546862</v>
      </c>
      <c r="N70" s="692">
        <v>4.0741072854305251</v>
      </c>
      <c r="O70" s="693">
        <v>4.1881137552063628</v>
      </c>
      <c r="P70" s="692">
        <v>4.3021202249822013</v>
      </c>
      <c r="Q70" s="692">
        <v>4.4161266947580389</v>
      </c>
      <c r="T70" s="257" t="s">
        <v>425</v>
      </c>
      <c r="U70" s="242"/>
      <c r="V70" s="242"/>
      <c r="W70" s="676">
        <v>20</v>
      </c>
    </row>
    <row r="71" spans="3:24" ht="15" customHeight="1" outlineLevel="1">
      <c r="C71" s="684">
        <v>20.5</v>
      </c>
      <c r="D71" s="680">
        <f>+D70+0.5</f>
        <v>6.8512014504788477</v>
      </c>
      <c r="E71" s="686">
        <v>0.23918974995613096</v>
      </c>
      <c r="F71" s="687">
        <v>0.24513770937919618</v>
      </c>
      <c r="G71" s="687">
        <v>0.25094676613807676</v>
      </c>
      <c r="H71" s="687">
        <v>0.25662384629249568</v>
      </c>
      <c r="I71" s="687">
        <v>0.26217538714408883</v>
      </c>
      <c r="J71" s="68"/>
      <c r="K71" s="684">
        <v>20.5</v>
      </c>
      <c r="L71" s="680">
        <f>D71</f>
        <v>6.8512014504788477</v>
      </c>
      <c r="M71" s="691">
        <v>3.6252438430077745</v>
      </c>
      <c r="N71" s="692">
        <v>3.7310070069941581</v>
      </c>
      <c r="O71" s="692">
        <v>3.8367701709805409</v>
      </c>
      <c r="P71" s="692">
        <v>3.9425333349669245</v>
      </c>
      <c r="Q71" s="692">
        <v>4.0482964989533077</v>
      </c>
      <c r="T71" s="256"/>
      <c r="U71" s="239"/>
      <c r="V71" s="239"/>
      <c r="W71" s="338"/>
    </row>
    <row r="72" spans="3:24" ht="15" customHeight="1" outlineLevel="1">
      <c r="C72" s="684">
        <v>21</v>
      </c>
      <c r="D72" s="680">
        <f>+D71+0.5</f>
        <v>7.3512014504788477</v>
      </c>
      <c r="E72" s="686">
        <v>0.22212302088737487</v>
      </c>
      <c r="F72" s="687">
        <v>0.22806767821311952</v>
      </c>
      <c r="G72" s="687">
        <v>0.23387170433998108</v>
      </c>
      <c r="H72" s="687">
        <v>0.23954219222068782</v>
      </c>
      <c r="I72" s="687">
        <v>0.24508574604988098</v>
      </c>
      <c r="J72" s="68"/>
      <c r="K72" s="684">
        <v>21</v>
      </c>
      <c r="L72" s="680">
        <f>D72</f>
        <v>7.3512014504788477</v>
      </c>
      <c r="M72" s="691">
        <v>3.3355457004445284</v>
      </c>
      <c r="N72" s="692">
        <v>3.4341772513218607</v>
      </c>
      <c r="O72" s="692">
        <v>3.5328088021991921</v>
      </c>
      <c r="P72" s="692">
        <v>3.631440353076524</v>
      </c>
      <c r="Q72" s="692">
        <v>3.7300719039538555</v>
      </c>
      <c r="T72" s="256"/>
      <c r="U72" s="239"/>
      <c r="V72" s="239"/>
      <c r="W72" s="338"/>
    </row>
    <row r="73" spans="3:24" outlineLevel="1">
      <c r="C73" s="294"/>
      <c r="D73" s="294"/>
      <c r="E73" s="294"/>
      <c r="F73" s="294"/>
      <c r="G73" s="294"/>
      <c r="H73" s="294"/>
      <c r="I73" s="294"/>
      <c r="J73" s="294"/>
      <c r="K73" s="294"/>
      <c r="L73" s="294"/>
      <c r="M73" s="294"/>
      <c r="N73" s="294"/>
      <c r="O73" s="294"/>
      <c r="P73" s="294"/>
      <c r="Q73" s="294"/>
    </row>
    <row r="74" spans="3:24">
      <c r="T74" s="199"/>
      <c r="U74" s="205"/>
      <c r="V74" s="235"/>
    </row>
    <row r="75" spans="3:24">
      <c r="T75" s="199"/>
      <c r="U75" s="205"/>
      <c r="V75" s="235"/>
    </row>
    <row r="76" spans="3:24">
      <c r="T76" s="199"/>
      <c r="U76" s="205"/>
      <c r="V76" s="235"/>
    </row>
    <row r="77" spans="3:24">
      <c r="T77" s="199"/>
      <c r="U77" s="205"/>
      <c r="V77" s="235"/>
    </row>
    <row r="78" spans="3:24" s="300" customFormat="1">
      <c r="R78" s="228"/>
    </row>
  </sheetData>
  <conditionalFormatting sqref="G2:J2">
    <cfRule type="containsText" dxfId="98" priority="2" operator="containsText" text="OK">
      <formula>NOT(ISERROR(SEARCH("OK",G2)))</formula>
    </cfRule>
    <cfRule type="containsText" dxfId="97" priority="3" operator="containsText" text="ERROR">
      <formula>NOT(ISERROR(SEARCH("ERROR",G2)))</formula>
    </cfRule>
  </conditionalFormatting>
  <conditionalFormatting sqref="U55">
    <cfRule type="expression" dxfId="96" priority="1">
      <formula>U55=1</formula>
    </cfRule>
  </conditionalFormatting>
  <printOptions horizontalCentered="1"/>
  <pageMargins left="0.118110236220472" right="0.118110236220472" top="0.118110236220472" bottom="0.118110236220472" header="0.118110236220472" footer="0.118110236220472"/>
  <pageSetup scale="85" fitToHeight="0" orientation="landscape" r:id="rId1"/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61" r:id="rId5" name="Check Box 1">
              <controlPr defaultSize="0" autoFill="0" autoLine="0" autoPict="0">
                <anchor moveWithCells="1" sizeWithCells="1">
                  <from>
                    <xdr:col>32</xdr:col>
                    <xdr:colOff>0</xdr:colOff>
                    <xdr:row>48</xdr:row>
                    <xdr:rowOff>0</xdr:rowOff>
                  </from>
                  <to>
                    <xdr:col>33</xdr:col>
                    <xdr:colOff>495300</xdr:colOff>
                    <xdr:row>49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62" r:id="rId6" name="Drop Down 2">
              <controlPr defaultSize="0" autoFill="0" autoPict="0">
                <anchor moveWithCells="1" sizeWithCells="1">
                  <from>
                    <xdr:col>32</xdr:col>
                    <xdr:colOff>12700</xdr:colOff>
                    <xdr:row>51</xdr:row>
                    <xdr:rowOff>12700</xdr:rowOff>
                  </from>
                  <to>
                    <xdr:col>33</xdr:col>
                    <xdr:colOff>584200</xdr:colOff>
                    <xdr:row>52</xdr:row>
                    <xdr:rowOff>50800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C1C49-C053-2D42-8D2E-38C9BCBAAE59}">
  <sheetPr>
    <pageSetUpPr autoPageBreaks="0"/>
  </sheetPr>
  <dimension ref="A1:R61"/>
  <sheetViews>
    <sheetView showGridLines="0" zoomScaleNormal="100" zoomScaleSheetLayoutView="90" workbookViewId="0"/>
  </sheetViews>
  <sheetFormatPr baseColWidth="10" defaultColWidth="8.6640625" defaultRowHeight="14" outlineLevelRow="1"/>
  <cols>
    <col min="1" max="1" width="9.1640625" style="58" customWidth="1"/>
    <col min="2" max="2" width="31.6640625" style="58" customWidth="1"/>
    <col min="3" max="5" width="10.5" style="58" customWidth="1"/>
    <col min="6" max="6" width="13.5" style="58" bestFit="1" customWidth="1"/>
    <col min="7" max="10" width="10.5" style="58" customWidth="1"/>
    <col min="11" max="11" width="11.6640625" style="58" customWidth="1"/>
    <col min="12" max="14" width="10.5" style="58" customWidth="1"/>
    <col min="15" max="15" width="12.83203125" style="58" customWidth="1"/>
    <col min="16" max="16" width="8.6640625" style="58"/>
    <col min="17" max="17" width="16.6640625" style="58" bestFit="1" customWidth="1"/>
    <col min="18" max="18" width="10.5" style="58" bestFit="1" customWidth="1"/>
    <col min="19" max="16384" width="8.6640625" style="58"/>
  </cols>
  <sheetData>
    <row r="1" spans="1:18" s="521" customFormat="1" ht="35" customHeight="1">
      <c r="B1" s="522" t="s">
        <v>419</v>
      </c>
      <c r="F1" s="523"/>
      <c r="G1" s="523"/>
      <c r="H1" s="523"/>
      <c r="I1" s="524"/>
      <c r="J1" s="524"/>
    </row>
    <row r="3" spans="1:18" s="69" customFormat="1" ht="15" customHeight="1">
      <c r="A3" s="69" t="s">
        <v>39</v>
      </c>
      <c r="B3" s="515" t="s">
        <v>42</v>
      </c>
      <c r="C3" s="519"/>
      <c r="D3" s="73"/>
      <c r="E3" s="515" t="s">
        <v>94</v>
      </c>
      <c r="F3" s="511"/>
      <c r="G3" s="511"/>
      <c r="H3" s="511"/>
      <c r="I3" s="512"/>
      <c r="J3" s="513"/>
      <c r="K3" s="513"/>
      <c r="L3" s="514"/>
      <c r="M3" s="514"/>
      <c r="N3" s="514"/>
      <c r="O3" s="73"/>
    </row>
    <row r="4" spans="1:18" s="69" customFormat="1" ht="15" customHeight="1" outlineLevel="1">
      <c r="B4" s="70"/>
      <c r="C4" s="71"/>
      <c r="D4" s="73"/>
      <c r="H4" s="70"/>
      <c r="I4" s="71"/>
      <c r="J4" s="72"/>
      <c r="K4" s="72"/>
      <c r="L4" s="73"/>
      <c r="M4" s="73"/>
      <c r="N4" s="73"/>
      <c r="O4" s="73"/>
    </row>
    <row r="5" spans="1:18" s="69" customFormat="1" ht="15" customHeight="1" outlineLevel="1">
      <c r="B5" s="267" t="s">
        <v>8</v>
      </c>
      <c r="C5" s="71"/>
      <c r="D5" s="73"/>
      <c r="H5" s="70"/>
      <c r="I5" s="71"/>
      <c r="J5" s="72"/>
      <c r="K5" s="72"/>
      <c r="L5" s="73"/>
      <c r="M5" s="73"/>
      <c r="N5" s="73"/>
      <c r="O5" s="73"/>
    </row>
    <row r="6" spans="1:18" s="69" customFormat="1" ht="15" customHeight="1" outlineLevel="1">
      <c r="B6" s="267"/>
      <c r="C6" s="71"/>
      <c r="D6" s="73"/>
      <c r="H6" s="70"/>
      <c r="I6" s="71"/>
      <c r="J6" s="72"/>
      <c r="K6" s="72"/>
      <c r="L6" s="73"/>
      <c r="M6" s="73"/>
      <c r="N6" s="73"/>
      <c r="O6" s="73"/>
    </row>
    <row r="7" spans="1:18" ht="15" customHeight="1" outlineLevel="1" thickBot="1">
      <c r="B7" s="525" t="s">
        <v>50</v>
      </c>
      <c r="C7" s="526"/>
      <c r="E7" s="525" t="s">
        <v>45</v>
      </c>
      <c r="F7" s="528"/>
      <c r="G7" s="528"/>
      <c r="H7" s="529"/>
      <c r="I7" s="530"/>
      <c r="J7" s="530" t="s">
        <v>93</v>
      </c>
      <c r="K7" s="59"/>
      <c r="L7" s="531" t="s">
        <v>46</v>
      </c>
      <c r="M7" s="532"/>
      <c r="N7" s="533" t="s">
        <v>93</v>
      </c>
      <c r="Q7" s="446"/>
    </row>
    <row r="8" spans="1:18" ht="15" customHeight="1" outlineLevel="1">
      <c r="B8" s="253" t="s">
        <v>399</v>
      </c>
      <c r="C8" s="543">
        <v>42.66</v>
      </c>
      <c r="E8" s="258" t="s">
        <v>372</v>
      </c>
      <c r="I8" s="551">
        <f>J8/J13</f>
        <v>6.3427528444608444E-2</v>
      </c>
      <c r="J8" s="91">
        <f>-C16-J27</f>
        <v>428795</v>
      </c>
      <c r="K8" s="465"/>
      <c r="L8" s="255" t="s">
        <v>50</v>
      </c>
      <c r="M8" s="67"/>
      <c r="N8" s="91">
        <f>C25</f>
        <v>6715392.695648998</v>
      </c>
      <c r="O8" s="432"/>
    </row>
    <row r="9" spans="1:18" ht="15" customHeight="1" outlineLevel="1">
      <c r="B9" s="253" t="s">
        <v>364</v>
      </c>
      <c r="C9" s="544">
        <v>0.15</v>
      </c>
      <c r="E9" s="253" t="s">
        <v>381</v>
      </c>
      <c r="I9" s="551">
        <v>0.08</v>
      </c>
      <c r="J9" s="75">
        <f>I9*J13</f>
        <v>540831.4156519199</v>
      </c>
      <c r="K9" s="465"/>
      <c r="L9" s="254" t="s">
        <v>378</v>
      </c>
      <c r="M9" s="68"/>
      <c r="N9" s="81">
        <v>0</v>
      </c>
      <c r="O9" s="432"/>
    </row>
    <row r="10" spans="1:18" ht="15" customHeight="1" outlineLevel="1">
      <c r="B10" s="102" t="s">
        <v>365</v>
      </c>
      <c r="C10" s="545">
        <v>136884011</v>
      </c>
      <c r="E10" s="266" t="s">
        <v>371</v>
      </c>
      <c r="I10" s="551">
        <v>0.22</v>
      </c>
      <c r="J10" s="75">
        <f>I10*J13</f>
        <v>1487286.3930427795</v>
      </c>
      <c r="K10" s="249"/>
      <c r="L10" s="254" t="s">
        <v>369</v>
      </c>
      <c r="N10" s="81">
        <v>45000</v>
      </c>
      <c r="O10" s="432"/>
      <c r="Q10" s="447"/>
    </row>
    <row r="11" spans="1:18" ht="15" customHeight="1" outlineLevel="1">
      <c r="B11" s="474" t="s">
        <v>50</v>
      </c>
      <c r="C11" s="75">
        <f>C8*(1+C9)*C10/1000</f>
        <v>6715392.695648998</v>
      </c>
      <c r="E11" s="258" t="s">
        <v>52</v>
      </c>
      <c r="I11" s="551">
        <f>70%-I8</f>
        <v>0.63657247155539154</v>
      </c>
      <c r="J11" s="75">
        <f>I11*J13</f>
        <v>4303479.8869542982</v>
      </c>
      <c r="K11" s="75"/>
      <c r="R11" s="432"/>
    </row>
    <row r="12" spans="1:18" ht="15" customHeight="1" outlineLevel="1">
      <c r="E12" s="266" t="s">
        <v>382</v>
      </c>
      <c r="I12" s="552">
        <v>0</v>
      </c>
      <c r="J12" s="91">
        <v>0</v>
      </c>
      <c r="K12" s="75"/>
    </row>
    <row r="13" spans="1:18" ht="15" customHeight="1" outlineLevel="1" thickBot="1">
      <c r="B13" s="525" t="s">
        <v>44</v>
      </c>
      <c r="C13" s="527"/>
      <c r="E13" s="259" t="s">
        <v>64</v>
      </c>
      <c r="I13" s="542"/>
      <c r="J13" s="213">
        <f>N13</f>
        <v>6760392.695648998</v>
      </c>
      <c r="K13" s="75"/>
      <c r="L13" s="259" t="s">
        <v>65</v>
      </c>
      <c r="M13" s="89"/>
      <c r="N13" s="450">
        <f>SUM(N8:N10)</f>
        <v>6760392.695648998</v>
      </c>
      <c r="R13" s="390"/>
    </row>
    <row r="14" spans="1:18" ht="15" customHeight="1" outlineLevel="1">
      <c r="B14" s="253" t="s">
        <v>50</v>
      </c>
      <c r="C14" s="91">
        <f>C11</f>
        <v>6715392.695648998</v>
      </c>
      <c r="H14" s="249"/>
      <c r="I14" s="249"/>
      <c r="J14" s="91"/>
      <c r="K14" s="285"/>
    </row>
    <row r="15" spans="1:18" ht="15" customHeight="1" outlineLevel="1">
      <c r="B15" s="253" t="s">
        <v>366</v>
      </c>
      <c r="C15" s="90">
        <v>0</v>
      </c>
      <c r="E15" s="451"/>
      <c r="H15" s="249"/>
      <c r="I15" s="249"/>
      <c r="J15" s="452"/>
      <c r="K15" s="285"/>
      <c r="L15" s="249"/>
      <c r="N15" s="137"/>
      <c r="R15" s="447"/>
    </row>
    <row r="16" spans="1:18" ht="15" customHeight="1" outlineLevel="1">
      <c r="B16" s="258" t="s">
        <v>370</v>
      </c>
      <c r="C16" s="91">
        <f>-(BS!C4+BS!C5)</f>
        <v>-628795</v>
      </c>
    </row>
    <row r="17" spans="2:18" ht="15" customHeight="1" outlineLevel="1">
      <c r="B17" s="475" t="s">
        <v>44</v>
      </c>
      <c r="C17" s="81">
        <f>C14+C15+C16</f>
        <v>6086597.695648998</v>
      </c>
      <c r="E17" s="162"/>
      <c r="I17" s="162"/>
      <c r="J17" s="162"/>
      <c r="K17" s="162"/>
    </row>
    <row r="18" spans="2:18" ht="15" customHeight="1" outlineLevel="1">
      <c r="R18" s="448"/>
    </row>
    <row r="19" spans="2:18" ht="15" customHeight="1" outlineLevel="1">
      <c r="B19" s="515" t="s">
        <v>87</v>
      </c>
      <c r="C19" s="515"/>
      <c r="D19" s="515"/>
      <c r="E19" s="515"/>
      <c r="F19" s="516"/>
      <c r="G19" s="516"/>
      <c r="H19" s="516"/>
      <c r="I19" s="516"/>
      <c r="J19" s="517"/>
      <c r="K19" s="517"/>
      <c r="L19" s="518"/>
      <c r="M19" s="518"/>
      <c r="N19" s="518"/>
      <c r="Q19" s="406"/>
    </row>
    <row r="20" spans="2:18" ht="15" customHeight="1" outlineLevel="1">
      <c r="O20" s="73"/>
    </row>
    <row r="21" spans="2:18" ht="15" customHeight="1" outlineLevel="1" thickBot="1">
      <c r="B21" s="531" t="s">
        <v>401</v>
      </c>
      <c r="C21" s="532"/>
      <c r="E21" s="531" t="s">
        <v>99</v>
      </c>
      <c r="F21" s="532"/>
      <c r="G21" s="532"/>
      <c r="H21" s="532"/>
      <c r="I21" s="532"/>
      <c r="J21" s="532"/>
      <c r="K21"/>
      <c r="N21"/>
      <c r="O21"/>
      <c r="P21"/>
    </row>
    <row r="22" spans="2:18" ht="15" customHeight="1" outlineLevel="1">
      <c r="B22" s="255" t="s">
        <v>368</v>
      </c>
      <c r="C22" s="449">
        <f>IS!D6</f>
        <v>958338</v>
      </c>
      <c r="E22" s="263" t="s">
        <v>396</v>
      </c>
      <c r="H22" s="178"/>
      <c r="I22" s="178" t="s">
        <v>107</v>
      </c>
      <c r="J22" s="547">
        <v>45688</v>
      </c>
      <c r="K22"/>
      <c r="N22"/>
      <c r="O22"/>
      <c r="P22"/>
    </row>
    <row r="23" spans="2:18" ht="15" customHeight="1" outlineLevel="1">
      <c r="B23" s="258" t="s">
        <v>367</v>
      </c>
      <c r="C23" s="477">
        <f>Outputs!W69</f>
        <v>6.3512014504788477</v>
      </c>
      <c r="E23" s="263" t="s">
        <v>397</v>
      </c>
      <c r="H23" s="178"/>
      <c r="I23" s="178" t="s">
        <v>107</v>
      </c>
      <c r="J23" s="547">
        <v>45322</v>
      </c>
      <c r="K23"/>
      <c r="N23"/>
      <c r="O23"/>
      <c r="P23"/>
    </row>
    <row r="24" spans="2:18" ht="15" customHeight="1" outlineLevel="1">
      <c r="B24" s="258" t="s">
        <v>44</v>
      </c>
      <c r="C24" s="81">
        <f>C23*C22</f>
        <v>6086597.695648998</v>
      </c>
      <c r="E24" s="263" t="s">
        <v>398</v>
      </c>
      <c r="H24" s="178"/>
      <c r="I24" s="178" t="s">
        <v>108</v>
      </c>
      <c r="J24" s="545">
        <v>2025</v>
      </c>
      <c r="K24"/>
      <c r="N24"/>
      <c r="O24"/>
      <c r="P24"/>
    </row>
    <row r="25" spans="2:18" ht="15" customHeight="1" outlineLevel="1">
      <c r="B25" s="475" t="s">
        <v>50</v>
      </c>
      <c r="C25" s="81">
        <f>C24-SUM(C15:C16)</f>
        <v>6715392.695648998</v>
      </c>
      <c r="E25" s="263" t="s">
        <v>1</v>
      </c>
      <c r="H25" s="178"/>
      <c r="I25" s="178" t="s">
        <v>3</v>
      </c>
      <c r="J25" s="548">
        <v>365</v>
      </c>
      <c r="K25"/>
      <c r="N25"/>
      <c r="O25"/>
      <c r="P25"/>
    </row>
    <row r="26" spans="2:18" ht="15" customHeight="1" outlineLevel="1">
      <c r="B26" s="258"/>
      <c r="E26" s="263" t="s">
        <v>21</v>
      </c>
      <c r="J26" s="549">
        <v>0.25</v>
      </c>
      <c r="K26"/>
      <c r="L26"/>
      <c r="M26"/>
      <c r="N26"/>
      <c r="O26"/>
      <c r="P26"/>
    </row>
    <row r="27" spans="2:18" ht="15" customHeight="1" outlineLevel="1" thickBot="1">
      <c r="B27" s="531" t="s">
        <v>98</v>
      </c>
      <c r="C27" s="532"/>
      <c r="E27" s="263" t="s">
        <v>395</v>
      </c>
      <c r="J27" s="548">
        <v>200000</v>
      </c>
      <c r="K27"/>
      <c r="L27"/>
      <c r="M27"/>
      <c r="N27"/>
      <c r="O27"/>
      <c r="P27"/>
    </row>
    <row r="28" spans="2:18" ht="15" customHeight="1" outlineLevel="1">
      <c r="B28" s="263" t="s">
        <v>367</v>
      </c>
      <c r="C28" s="546">
        <v>6.3512014504788477</v>
      </c>
      <c r="E28" s="102" t="s">
        <v>101</v>
      </c>
      <c r="J28" s="550">
        <v>3.5000000000000003E-2</v>
      </c>
      <c r="K28"/>
      <c r="M28"/>
      <c r="N28"/>
      <c r="O28"/>
      <c r="P28"/>
    </row>
    <row r="29" spans="2:18" ht="15" customHeight="1" outlineLevel="1">
      <c r="B29" s="263" t="s">
        <v>400</v>
      </c>
      <c r="C29" s="546">
        <v>6.3512014504788477</v>
      </c>
      <c r="E29" s="102" t="s">
        <v>384</v>
      </c>
      <c r="J29" s="548">
        <v>0</v>
      </c>
      <c r="K29"/>
      <c r="M29"/>
      <c r="N29"/>
      <c r="O29"/>
      <c r="P29"/>
    </row>
    <row r="30" spans="2:18" ht="15" customHeight="1" outlineLevel="1">
      <c r="B30" s="263" t="s">
        <v>424</v>
      </c>
      <c r="C30" s="546">
        <v>20</v>
      </c>
      <c r="E30" s="102"/>
      <c r="J30" s="136"/>
      <c r="K30"/>
      <c r="M30"/>
      <c r="N30"/>
      <c r="O30"/>
      <c r="P30"/>
    </row>
    <row r="31" spans="2:18" ht="15" customHeight="1" outlineLevel="1">
      <c r="B31" s="263" t="s">
        <v>425</v>
      </c>
      <c r="C31" s="546">
        <v>20</v>
      </c>
      <c r="E31" s="102"/>
      <c r="J31" s="136"/>
      <c r="K31"/>
      <c r="M31"/>
      <c r="N31"/>
      <c r="O31"/>
      <c r="P31"/>
    </row>
    <row r="32" spans="2:18" ht="15" customHeight="1" outlineLevel="1">
      <c r="B32" s="101"/>
      <c r="C32" s="101"/>
      <c r="D32" s="101"/>
      <c r="E32" s="101"/>
      <c r="F32" s="101"/>
      <c r="G32" s="227"/>
      <c r="H32" s="101"/>
      <c r="I32" s="101"/>
      <c r="J32" s="101"/>
      <c r="K32" s="244"/>
      <c r="L32" s="101"/>
      <c r="M32" s="101"/>
      <c r="N32" s="101"/>
    </row>
    <row r="33" spans="1:15">
      <c r="G33" s="61"/>
      <c r="H33" s="129"/>
      <c r="I33" s="129"/>
      <c r="J33" s="91"/>
      <c r="K33" s="225"/>
      <c r="L33" s="226"/>
    </row>
    <row r="34" spans="1:15" ht="15" customHeight="1">
      <c r="A34" s="58" t="s">
        <v>39</v>
      </c>
      <c r="B34" s="515" t="s">
        <v>410</v>
      </c>
      <c r="C34" s="516"/>
      <c r="D34" s="517"/>
      <c r="E34" s="517"/>
      <c r="F34" s="518"/>
      <c r="G34" s="520"/>
      <c r="H34" s="516"/>
      <c r="I34" s="517"/>
      <c r="J34" s="517"/>
      <c r="K34" s="518"/>
      <c r="L34" s="520"/>
      <c r="M34" s="516"/>
      <c r="N34" s="517"/>
      <c r="O34" s="72"/>
    </row>
    <row r="35" spans="1:15" s="69" customFormat="1" ht="15" customHeight="1" outlineLevel="1">
      <c r="B35" s="70"/>
      <c r="C35" s="71"/>
      <c r="D35" s="72"/>
      <c r="E35" s="72"/>
      <c r="F35" s="77"/>
      <c r="G35" s="77"/>
      <c r="H35" s="77"/>
      <c r="I35" s="77"/>
      <c r="J35" s="77"/>
      <c r="K35" s="77"/>
      <c r="L35" s="77"/>
      <c r="M35" s="77"/>
    </row>
    <row r="36" spans="1:15" s="69" customFormat="1" ht="15" customHeight="1" outlineLevel="1">
      <c r="B36" s="267" t="s">
        <v>41</v>
      </c>
      <c r="C36" s="72"/>
      <c r="D36" s="78"/>
      <c r="E36" s="78"/>
      <c r="F36" s="78"/>
      <c r="G36" s="78"/>
      <c r="H36" s="284"/>
      <c r="I36" s="79"/>
      <c r="J36" s="79"/>
    </row>
    <row r="37" spans="1:15" ht="15" customHeight="1" outlineLevel="1">
      <c r="B37" s="82"/>
      <c r="C37" s="84"/>
      <c r="D37" s="83"/>
      <c r="E37" s="303" t="s">
        <v>158</v>
      </c>
      <c r="F37" s="303" t="s">
        <v>138</v>
      </c>
      <c r="G37" s="303" t="s">
        <v>139</v>
      </c>
    </row>
    <row r="38" spans="1:15" ht="17.25" customHeight="1" outlineLevel="1" thickBot="1">
      <c r="B38" s="534" t="s">
        <v>60</v>
      </c>
      <c r="C38" s="535" t="s">
        <v>93</v>
      </c>
      <c r="D38" s="536" t="s">
        <v>157</v>
      </c>
      <c r="E38" s="536" t="s">
        <v>145</v>
      </c>
      <c r="F38" s="536" t="s">
        <v>61</v>
      </c>
      <c r="G38" s="536" t="s">
        <v>61</v>
      </c>
    </row>
    <row r="39" spans="1:15" ht="15" customHeight="1" outlineLevel="1">
      <c r="B39" s="265" t="s">
        <v>198</v>
      </c>
      <c r="C39" s="85">
        <f>$J$12</f>
        <v>0</v>
      </c>
      <c r="D39" s="553">
        <v>300000</v>
      </c>
      <c r="E39" s="554">
        <v>5.0000000000000001E-3</v>
      </c>
      <c r="F39" s="555">
        <v>200</v>
      </c>
      <c r="G39" s="556" t="s">
        <v>62</v>
      </c>
    </row>
    <row r="40" spans="1:15" ht="15" customHeight="1" outlineLevel="1">
      <c r="B40" s="266" t="s">
        <v>177</v>
      </c>
      <c r="C40" s="85">
        <f>$J$9</f>
        <v>540831.4156519199</v>
      </c>
      <c r="D40" s="556" t="s">
        <v>62</v>
      </c>
      <c r="E40" s="556" t="s">
        <v>62</v>
      </c>
      <c r="F40" s="555">
        <v>275</v>
      </c>
      <c r="G40" s="556" t="s">
        <v>62</v>
      </c>
    </row>
    <row r="41" spans="1:15" ht="15" customHeight="1" outlineLevel="1">
      <c r="B41" s="266" t="s">
        <v>178</v>
      </c>
      <c r="C41" s="85">
        <f>$J$10</f>
        <v>1487286.3930427795</v>
      </c>
      <c r="D41" s="556" t="s">
        <v>62</v>
      </c>
      <c r="E41" s="556" t="s">
        <v>62</v>
      </c>
      <c r="F41" s="556" t="s">
        <v>62</v>
      </c>
      <c r="G41" s="557">
        <v>0.1</v>
      </c>
    </row>
    <row r="42" spans="1:15" ht="15" customHeight="1" outlineLevel="1">
      <c r="B42" s="264" t="s">
        <v>47</v>
      </c>
      <c r="C42" s="85">
        <f>J12</f>
        <v>0</v>
      </c>
      <c r="D42" s="556" t="s">
        <v>62</v>
      </c>
      <c r="E42" s="556" t="s">
        <v>62</v>
      </c>
      <c r="F42" s="556" t="s">
        <v>62</v>
      </c>
      <c r="G42" s="556" t="s">
        <v>62</v>
      </c>
    </row>
    <row r="43" spans="1:15" ht="15" customHeight="1" outlineLevel="1">
      <c r="B43" s="537" t="s">
        <v>52</v>
      </c>
      <c r="C43" s="538">
        <f>$J$11</f>
        <v>4303479.8869542982</v>
      </c>
      <c r="D43" s="558" t="s">
        <v>62</v>
      </c>
      <c r="E43" s="559" t="s">
        <v>62</v>
      </c>
      <c r="F43" s="559" t="s">
        <v>62</v>
      </c>
      <c r="G43" s="559" t="s">
        <v>62</v>
      </c>
    </row>
    <row r="44" spans="1:15" ht="15" customHeight="1" outlineLevel="1">
      <c r="B44" s="264" t="s">
        <v>63</v>
      </c>
      <c r="C44" s="85">
        <f>SUM(C39:C43)</f>
        <v>6331597.695648998</v>
      </c>
      <c r="D44" s="163"/>
      <c r="F44" s="220"/>
      <c r="I44" s="301"/>
      <c r="J44" s="301"/>
      <c r="K44" s="301"/>
      <c r="L44" s="163"/>
      <c r="M44" s="301"/>
      <c r="N44" s="301"/>
      <c r="O44" s="301"/>
    </row>
    <row r="45" spans="1:15" ht="15" customHeight="1" outlineLevel="1">
      <c r="C45" s="304"/>
      <c r="D45" s="505"/>
      <c r="E45" s="505"/>
      <c r="F45" s="505"/>
      <c r="G45" s="505"/>
      <c r="H45" s="505"/>
      <c r="I45" s="506"/>
      <c r="J45" s="506"/>
      <c r="K45" s="506"/>
      <c r="L45" s="506"/>
      <c r="M45" s="506"/>
    </row>
    <row r="46" spans="1:15" ht="17" customHeight="1" outlineLevel="1" thickBot="1">
      <c r="B46" s="539" t="s">
        <v>92</v>
      </c>
      <c r="C46" s="540" t="s">
        <v>159</v>
      </c>
      <c r="D46" s="540">
        <v>1</v>
      </c>
      <c r="E46" s="540">
        <f>D46+1</f>
        <v>2</v>
      </c>
      <c r="F46" s="540">
        <f>E46+1</f>
        <v>3</v>
      </c>
      <c r="G46" s="540">
        <f>F46+1</f>
        <v>4</v>
      </c>
      <c r="H46" s="540">
        <f>G46+1</f>
        <v>5</v>
      </c>
      <c r="I46" s="540">
        <f t="shared" ref="I46:M46" si="0">H46+1</f>
        <v>6</v>
      </c>
      <c r="J46" s="540">
        <f t="shared" si="0"/>
        <v>7</v>
      </c>
      <c r="K46" s="540">
        <f t="shared" si="0"/>
        <v>8</v>
      </c>
      <c r="L46" s="540">
        <f t="shared" si="0"/>
        <v>9</v>
      </c>
      <c r="M46" s="540">
        <f t="shared" si="0"/>
        <v>10</v>
      </c>
    </row>
    <row r="47" spans="1:15" ht="15" customHeight="1" outlineLevel="1">
      <c r="B47" s="266" t="s">
        <v>178</v>
      </c>
      <c r="C47" s="556" t="s">
        <v>62</v>
      </c>
      <c r="D47" s="556">
        <v>0</v>
      </c>
      <c r="E47" s="556">
        <v>0</v>
      </c>
      <c r="F47" s="556">
        <v>0</v>
      </c>
      <c r="G47" s="556">
        <v>0</v>
      </c>
      <c r="H47" s="556">
        <v>0</v>
      </c>
      <c r="I47" s="556">
        <v>0</v>
      </c>
      <c r="J47" s="556">
        <v>0</v>
      </c>
      <c r="K47" s="556">
        <v>0</v>
      </c>
      <c r="L47" s="556">
        <v>0</v>
      </c>
      <c r="M47" s="556">
        <v>0</v>
      </c>
    </row>
    <row r="48" spans="1:15" ht="15" customHeight="1" outlineLevel="1">
      <c r="B48" s="266" t="s">
        <v>177</v>
      </c>
      <c r="C48" s="560">
        <v>1</v>
      </c>
      <c r="D48" s="560">
        <v>0.1</v>
      </c>
      <c r="E48" s="560">
        <v>0.1</v>
      </c>
      <c r="F48" s="560">
        <v>0.1</v>
      </c>
      <c r="G48" s="560">
        <v>0.1</v>
      </c>
      <c r="H48" s="560">
        <v>0.1</v>
      </c>
      <c r="I48" s="560">
        <v>0.1</v>
      </c>
      <c r="J48" s="560">
        <v>0.1</v>
      </c>
      <c r="K48" s="560">
        <v>0.1</v>
      </c>
      <c r="L48" s="560">
        <v>0.1</v>
      </c>
      <c r="M48" s="560">
        <v>0.1</v>
      </c>
    </row>
    <row r="49" spans="2:14" ht="15" customHeight="1" outlineLevel="1">
      <c r="B49" s="266"/>
      <c r="C49" s="302"/>
      <c r="D49" s="297"/>
      <c r="E49" s="297"/>
      <c r="F49" s="297"/>
      <c r="G49" s="297"/>
      <c r="H49" s="297"/>
      <c r="I49" s="297"/>
      <c r="J49" s="297"/>
      <c r="K49" s="297"/>
      <c r="L49" s="297"/>
      <c r="M49" s="297"/>
    </row>
    <row r="50" spans="2:14" ht="15" customHeight="1" outlineLevel="1" thickBot="1">
      <c r="B50" s="539" t="s">
        <v>409</v>
      </c>
      <c r="C50" s="540"/>
      <c r="D50" s="540">
        <v>1</v>
      </c>
      <c r="E50" s="540">
        <f>D50+1</f>
        <v>2</v>
      </c>
      <c r="F50" s="540">
        <f>E50+1</f>
        <v>3</v>
      </c>
      <c r="G50" s="540">
        <f>F50+1</f>
        <v>4</v>
      </c>
      <c r="H50" s="540">
        <f>G50+1</f>
        <v>5</v>
      </c>
      <c r="I50" s="540">
        <f t="shared" ref="I50" si="1">H50+1</f>
        <v>6</v>
      </c>
      <c r="J50" s="540">
        <f t="shared" ref="J50" si="2">I50+1</f>
        <v>7</v>
      </c>
      <c r="K50" s="540">
        <f t="shared" ref="K50" si="3">J50+1</f>
        <v>8</v>
      </c>
      <c r="L50" s="540">
        <f t="shared" ref="L50" si="4">K50+1</f>
        <v>9</v>
      </c>
      <c r="M50" s="540">
        <f t="shared" ref="M50" si="5">L50+1</f>
        <v>10</v>
      </c>
    </row>
    <row r="51" spans="2:14" ht="15" customHeight="1" outlineLevel="1">
      <c r="B51" s="266" t="s">
        <v>178</v>
      </c>
      <c r="C51" s="561"/>
      <c r="D51" s="561">
        <v>0.75</v>
      </c>
      <c r="E51" s="561">
        <v>0.75</v>
      </c>
      <c r="F51" s="561">
        <v>0.75</v>
      </c>
      <c r="G51" s="561">
        <v>0.75</v>
      </c>
      <c r="H51" s="561">
        <v>0.75</v>
      </c>
      <c r="I51" s="561">
        <v>0.25</v>
      </c>
      <c r="J51" s="561">
        <v>0.25</v>
      </c>
      <c r="K51" s="561">
        <v>0.25</v>
      </c>
      <c r="L51" s="561">
        <v>0.25</v>
      </c>
      <c r="M51" s="561">
        <v>0.25</v>
      </c>
    </row>
    <row r="52" spans="2:14" ht="15" customHeight="1" outlineLevel="1"/>
    <row r="53" spans="2:14" ht="15" customHeight="1" outlineLevel="1" thickBot="1">
      <c r="B53" s="531" t="s">
        <v>128</v>
      </c>
      <c r="C53" s="531"/>
      <c r="D53" s="531"/>
      <c r="F53" s="162"/>
    </row>
    <row r="54" spans="2:14" ht="15" customHeight="1" outlineLevel="1">
      <c r="B54" s="102" t="s">
        <v>417</v>
      </c>
      <c r="C54" s="271"/>
      <c r="D54" s="562">
        <v>6</v>
      </c>
      <c r="G54" s="138"/>
      <c r="H54" s="188"/>
      <c r="K54" s="89"/>
      <c r="L54" s="138"/>
      <c r="M54" s="63"/>
    </row>
    <row r="55" spans="2:14" ht="15" customHeight="1" outlineLevel="1">
      <c r="B55" s="273" t="s">
        <v>127</v>
      </c>
      <c r="D55" s="563">
        <v>4</v>
      </c>
      <c r="G55" s="138"/>
      <c r="H55" s="188"/>
      <c r="K55" s="89"/>
      <c r="L55" s="138"/>
      <c r="M55" s="63"/>
    </row>
    <row r="56" spans="2:14" ht="15" customHeight="1" outlineLevel="1">
      <c r="B56" s="273" t="s">
        <v>189</v>
      </c>
      <c r="D56" s="563">
        <v>0.5</v>
      </c>
      <c r="H56" s="188"/>
      <c r="K56" s="89"/>
      <c r="L56" s="138"/>
      <c r="M56" s="63"/>
    </row>
    <row r="57" spans="2:14" ht="15" customHeight="1" outlineLevel="1">
      <c r="B57" s="273" t="s">
        <v>432</v>
      </c>
      <c r="D57" s="563">
        <v>2</v>
      </c>
      <c r="H57" s="188"/>
      <c r="K57" s="89"/>
      <c r="L57" s="138"/>
      <c r="M57" s="63"/>
    </row>
    <row r="58" spans="2:14" ht="15" customHeight="1" outlineLevel="1">
      <c r="H58" s="188"/>
      <c r="K58" s="89"/>
      <c r="L58" s="138"/>
      <c r="M58" s="63"/>
      <c r="N58" s="510"/>
    </row>
    <row r="59" spans="2:14" ht="15" customHeight="1" outlineLevel="1">
      <c r="G59" s="138"/>
      <c r="H59" s="188"/>
      <c r="K59" s="89"/>
      <c r="L59" s="138"/>
      <c r="M59" s="63"/>
      <c r="N59" s="510" t="s">
        <v>416</v>
      </c>
    </row>
    <row r="60" spans="2:14" ht="15" customHeight="1" outlineLevel="1">
      <c r="B60" s="262"/>
      <c r="C60" s="87"/>
      <c r="D60" s="310"/>
      <c r="G60" s="138"/>
      <c r="H60" s="188"/>
      <c r="K60" s="89"/>
      <c r="L60" s="138"/>
      <c r="M60" s="63"/>
      <c r="N60" s="510" t="s">
        <v>415</v>
      </c>
    </row>
    <row r="61" spans="2:14">
      <c r="B61" s="101"/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 t="s">
        <v>39</v>
      </c>
    </row>
  </sheetData>
  <conditionalFormatting sqref="K32">
    <cfRule type="containsText" dxfId="95" priority="4" operator="containsText" text="OK">
      <formula>NOT(ISERROR(SEARCH("OK",K32)))</formula>
    </cfRule>
    <cfRule type="containsText" dxfId="94" priority="5" operator="containsText" text="ERROR">
      <formula>NOT(ISERROR(SEARCH("ERROR",K32)))</formula>
    </cfRule>
  </conditionalFormatting>
  <printOptions horizontalCentered="1"/>
  <pageMargins left="0.118110236220472" right="0.118110236220472" top="0.118110236220472" bottom="0.118110236220472" header="0.118110236220472" footer="0.118110236220472"/>
  <pageSetup scale="82" fitToWidth="0" fitToHeight="0" orientation="landscape" r:id="rId1"/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4AC17-D86A-F542-8E41-442A13A86DAD}">
  <sheetPr>
    <pageSetUpPr autoPageBreaks="0"/>
  </sheetPr>
  <dimension ref="A1:R100"/>
  <sheetViews>
    <sheetView showGridLines="0" zoomScaleNormal="100" zoomScaleSheetLayoutView="80" workbookViewId="0"/>
  </sheetViews>
  <sheetFormatPr baseColWidth="10" defaultColWidth="8.6640625" defaultRowHeight="14" outlineLevelRow="1"/>
  <cols>
    <col min="1" max="1" width="9.1640625" style="58" customWidth="1"/>
    <col min="2" max="2" width="15.5" style="58" customWidth="1"/>
    <col min="3" max="3" width="15.6640625" style="58" customWidth="1"/>
    <col min="4" max="4" width="14.83203125" style="58" bestFit="1" customWidth="1"/>
    <col min="5" max="5" width="2.6640625" style="58" customWidth="1"/>
    <col min="6" max="16" width="10.5" style="58" customWidth="1"/>
    <col min="17" max="16384" width="8.6640625" style="58"/>
  </cols>
  <sheetData>
    <row r="1" spans="1:16" s="521" customFormat="1" ht="35" customHeight="1">
      <c r="A1" s="599"/>
      <c r="B1" s="522" t="s">
        <v>414</v>
      </c>
      <c r="F1" s="523"/>
      <c r="G1" s="523"/>
      <c r="H1" s="523"/>
      <c r="I1" s="523"/>
      <c r="J1" s="523"/>
      <c r="K1" s="523"/>
      <c r="L1" s="524"/>
      <c r="M1" s="524"/>
      <c r="N1" s="524"/>
      <c r="O1" s="524"/>
    </row>
    <row r="2" spans="1:16" s="53" customFormat="1" ht="14" customHeight="1">
      <c r="C2" s="54"/>
      <c r="D2" s="54"/>
      <c r="E2" s="54"/>
      <c r="F2" s="55"/>
      <c r="G2" s="55"/>
      <c r="H2" s="55"/>
      <c r="I2" s="55"/>
      <c r="J2" s="55"/>
      <c r="K2" s="55"/>
      <c r="L2" s="56"/>
      <c r="M2" s="56"/>
      <c r="N2" s="56"/>
      <c r="O2" s="56"/>
    </row>
    <row r="3" spans="1:16" ht="15" customHeight="1" outlineLevel="1">
      <c r="A3" s="58" t="s">
        <v>39</v>
      </c>
      <c r="B3" s="564" t="s">
        <v>331</v>
      </c>
      <c r="C3" s="565"/>
      <c r="D3" s="565"/>
      <c r="E3" s="565"/>
      <c r="F3" s="566"/>
      <c r="G3" s="566"/>
      <c r="H3" s="566"/>
      <c r="I3" s="566"/>
      <c r="J3" s="566"/>
      <c r="K3" s="566"/>
      <c r="L3" s="567"/>
      <c r="M3" s="567"/>
      <c r="N3" s="567"/>
      <c r="O3" s="567"/>
      <c r="P3" s="567"/>
    </row>
    <row r="4" spans="1:16" ht="15" customHeight="1" outlineLevel="1">
      <c r="B4" s="6"/>
      <c r="C4" s="6"/>
      <c r="D4" s="7"/>
      <c r="E4" s="7"/>
      <c r="F4" s="8"/>
      <c r="G4" s="8"/>
      <c r="H4" s="8"/>
      <c r="I4" s="8"/>
      <c r="J4" s="8"/>
      <c r="K4" s="8"/>
      <c r="L4" s="9"/>
      <c r="M4" s="9"/>
      <c r="N4" s="9"/>
      <c r="O4" s="9"/>
      <c r="P4" s="9"/>
    </row>
    <row r="5" spans="1:16" ht="15" customHeight="1" outlineLevel="1" thickBot="1">
      <c r="B5" s="267" t="s">
        <v>8</v>
      </c>
      <c r="C5" s="10"/>
      <c r="D5" s="7"/>
      <c r="E5" s="7"/>
      <c r="F5" s="11"/>
      <c r="G5" s="577">
        <v>2025</v>
      </c>
      <c r="H5" s="577">
        <f>G5+1</f>
        <v>2026</v>
      </c>
      <c r="I5" s="577">
        <f t="shared" ref="I5:P5" si="0">H5+1</f>
        <v>2027</v>
      </c>
      <c r="J5" s="577">
        <f t="shared" si="0"/>
        <v>2028</v>
      </c>
      <c r="K5" s="577">
        <f t="shared" si="0"/>
        <v>2029</v>
      </c>
      <c r="L5" s="577">
        <f t="shared" si="0"/>
        <v>2030</v>
      </c>
      <c r="M5" s="577">
        <f t="shared" si="0"/>
        <v>2031</v>
      </c>
      <c r="N5" s="577">
        <f t="shared" si="0"/>
        <v>2032</v>
      </c>
      <c r="O5" s="577">
        <f t="shared" si="0"/>
        <v>2033</v>
      </c>
      <c r="P5" s="577">
        <f t="shared" si="0"/>
        <v>2034</v>
      </c>
    </row>
    <row r="6" spans="1:16" ht="15" customHeight="1" outlineLevel="1">
      <c r="B6" s="15"/>
      <c r="C6" s="230"/>
      <c r="D6" s="147"/>
      <c r="E6" s="147"/>
      <c r="F6" s="230"/>
      <c r="G6" s="230"/>
      <c r="H6" s="230"/>
      <c r="I6" s="230"/>
      <c r="J6" s="230"/>
      <c r="K6" s="230"/>
      <c r="L6" s="230"/>
      <c r="M6" s="230"/>
      <c r="N6" s="230"/>
      <c r="O6" s="152"/>
      <c r="P6" s="151"/>
    </row>
    <row r="7" spans="1:16" ht="15" customHeight="1" outlineLevel="1">
      <c r="B7" s="15" t="s">
        <v>90</v>
      </c>
      <c r="C7" s="147"/>
      <c r="D7" s="147"/>
      <c r="E7" s="186">
        <v>2</v>
      </c>
      <c r="F7" s="186"/>
      <c r="G7" s="186"/>
      <c r="H7" s="186"/>
      <c r="I7" s="186"/>
      <c r="J7" s="186"/>
      <c r="K7" s="186"/>
      <c r="L7" s="230"/>
      <c r="M7" s="230"/>
      <c r="N7" s="152"/>
      <c r="O7" s="151"/>
      <c r="P7" s="147"/>
    </row>
    <row r="8" spans="1:16" ht="15" customHeight="1" outlineLevel="1">
      <c r="B8" s="230"/>
      <c r="C8" s="147"/>
      <c r="D8" s="147"/>
      <c r="E8" s="230"/>
      <c r="F8" s="230"/>
      <c r="G8" s="230"/>
      <c r="H8" s="230"/>
      <c r="I8" s="230"/>
      <c r="J8" s="230"/>
      <c r="K8" s="230"/>
      <c r="L8" s="230"/>
      <c r="M8" s="230"/>
      <c r="N8" s="152"/>
      <c r="O8" s="151"/>
      <c r="P8" s="147"/>
    </row>
    <row r="9" spans="1:16" ht="15" customHeight="1" outlineLevel="1">
      <c r="B9" s="15" t="s">
        <v>326</v>
      </c>
      <c r="C9" s="147"/>
      <c r="D9" s="147"/>
      <c r="E9" s="150"/>
      <c r="F9" s="150"/>
      <c r="G9" s="433" cm="1">
        <f t="array" ref="G9">INDEX(G11:G13,$E$7)</f>
        <v>0.3</v>
      </c>
      <c r="H9" s="434" cm="1">
        <f t="array" ref="H9">INDEX(H11:H13,$E$7)</f>
        <v>0.3</v>
      </c>
      <c r="I9" s="434" cm="1">
        <f t="array" ref="I9">INDEX(I11:I13,$E$7)</f>
        <v>0.3</v>
      </c>
      <c r="J9" s="434" cm="1">
        <f t="array" ref="J9">INDEX(J11:J13,$E$7)</f>
        <v>0.28999999999999998</v>
      </c>
      <c r="K9" s="434" cm="1">
        <f t="array" ref="K9">INDEX(K11:K13,$E$7)</f>
        <v>0.28999999999999998</v>
      </c>
      <c r="L9" s="434" cm="1">
        <f t="array" ref="L9">INDEX(L11:L13,$E$7)</f>
        <v>0.27300000000000002</v>
      </c>
      <c r="M9" s="434" cm="1">
        <f t="array" ref="M9">INDEX(M11:M13,$E$7)</f>
        <v>0.22600000000000001</v>
      </c>
      <c r="N9" s="434" cm="1">
        <f t="array" ref="N9">INDEX(N11:N13,$E$7)</f>
        <v>0.17799999999999999</v>
      </c>
      <c r="O9" s="434" cm="1">
        <f t="array" ref="O9">INDEX(O11:O13,$E$7)</f>
        <v>0.13100000000000001</v>
      </c>
      <c r="P9" s="435" cm="1">
        <f t="array" ref="P9">INDEX(P11:P13,$E$7)</f>
        <v>8.4000000000000005E-2</v>
      </c>
    </row>
    <row r="10" spans="1:16" ht="15" customHeight="1" outlineLevel="1">
      <c r="B10" s="15"/>
      <c r="C10" s="230"/>
      <c r="D10" s="230"/>
      <c r="E10" s="230"/>
      <c r="F10" s="230"/>
      <c r="G10" s="436"/>
      <c r="H10" s="436"/>
      <c r="I10" s="436"/>
      <c r="J10" s="436"/>
      <c r="K10" s="436"/>
      <c r="L10" s="436"/>
      <c r="M10" s="437"/>
      <c r="N10" s="438"/>
      <c r="O10" s="439"/>
      <c r="P10" s="439"/>
    </row>
    <row r="11" spans="1:16" ht="15" customHeight="1" outlineLevel="1">
      <c r="B11" s="149" t="s">
        <v>89</v>
      </c>
      <c r="D11" s="230"/>
      <c r="E11" s="147"/>
      <c r="F11" s="230"/>
      <c r="G11" s="568">
        <v>0.32</v>
      </c>
      <c r="H11" s="569">
        <v>0.32</v>
      </c>
      <c r="I11" s="569">
        <v>0.32</v>
      </c>
      <c r="J11" s="569">
        <v>0.3</v>
      </c>
      <c r="K11" s="569">
        <v>0.3</v>
      </c>
      <c r="L11" s="569">
        <v>0.25</v>
      </c>
      <c r="M11" s="569">
        <v>0.25</v>
      </c>
      <c r="N11" s="569">
        <v>0.2</v>
      </c>
      <c r="O11" s="569">
        <v>0.15</v>
      </c>
      <c r="P11" s="570">
        <v>0.1</v>
      </c>
    </row>
    <row r="12" spans="1:16" ht="15" customHeight="1" outlineLevel="1">
      <c r="B12" s="149" t="s">
        <v>59</v>
      </c>
      <c r="D12" s="230"/>
      <c r="E12" s="230"/>
      <c r="F12" s="230"/>
      <c r="G12" s="571">
        <v>0.3</v>
      </c>
      <c r="H12" s="572">
        <v>0.3</v>
      </c>
      <c r="I12" s="572">
        <v>0.3</v>
      </c>
      <c r="J12" s="572">
        <v>0.28999999999999998</v>
      </c>
      <c r="K12" s="572">
        <v>0.28999999999999998</v>
      </c>
      <c r="L12" s="572">
        <v>0.27300000000000002</v>
      </c>
      <c r="M12" s="572">
        <v>0.22600000000000001</v>
      </c>
      <c r="N12" s="572">
        <v>0.17799999999999999</v>
      </c>
      <c r="O12" s="572">
        <v>0.13100000000000001</v>
      </c>
      <c r="P12" s="573">
        <v>8.4000000000000005E-2</v>
      </c>
    </row>
    <row r="13" spans="1:16" ht="15" customHeight="1" outlineLevel="1">
      <c r="B13" s="149" t="s">
        <v>88</v>
      </c>
      <c r="D13" s="230"/>
      <c r="E13" s="230"/>
      <c r="F13" s="230"/>
      <c r="G13" s="574">
        <v>0.27</v>
      </c>
      <c r="H13" s="575">
        <v>0.27</v>
      </c>
      <c r="I13" s="575">
        <v>0.27</v>
      </c>
      <c r="J13" s="575">
        <v>0.26</v>
      </c>
      <c r="K13" s="575">
        <v>0.26</v>
      </c>
      <c r="L13" s="575">
        <v>0.24</v>
      </c>
      <c r="M13" s="575">
        <v>0.21</v>
      </c>
      <c r="N13" s="575">
        <v>0.16</v>
      </c>
      <c r="O13" s="575">
        <v>0.13</v>
      </c>
      <c r="P13" s="576">
        <v>7.0000000000000007E-2</v>
      </c>
    </row>
    <row r="14" spans="1:16" ht="15" customHeight="1" outlineLevel="1">
      <c r="B14" s="149"/>
      <c r="C14" s="148"/>
      <c r="D14" s="148"/>
      <c r="E14" s="148"/>
      <c r="F14" s="148"/>
      <c r="G14" s="440"/>
      <c r="H14" s="440"/>
      <c r="I14" s="440"/>
      <c r="J14" s="440"/>
      <c r="K14" s="440"/>
      <c r="L14" s="436"/>
      <c r="M14" s="441"/>
      <c r="N14" s="438"/>
      <c r="O14" s="439"/>
      <c r="P14" s="439"/>
    </row>
    <row r="15" spans="1:16" ht="15" customHeight="1" outlineLevel="1">
      <c r="B15" s="15" t="s">
        <v>363</v>
      </c>
      <c r="C15" s="148"/>
      <c r="D15" s="148"/>
      <c r="E15" s="148"/>
      <c r="F15" s="148"/>
      <c r="G15" s="433" cm="1">
        <f t="array" ref="G15">INDEX(G17:G19,$E$7)</f>
        <v>0.81</v>
      </c>
      <c r="H15" s="434" cm="1">
        <f t="array" ref="H15">INDEX(H17:H19,$E$7)</f>
        <v>0.81</v>
      </c>
      <c r="I15" s="434" cm="1">
        <f t="array" ref="I15">INDEX(I17:I19,$E$7)</f>
        <v>0.81</v>
      </c>
      <c r="J15" s="434" cm="1">
        <f t="array" ref="J15">INDEX(J17:J19,$E$7)</f>
        <v>0.81</v>
      </c>
      <c r="K15" s="434" cm="1">
        <f t="array" ref="K15">INDEX(K17:K19,$E$7)</f>
        <v>0.81</v>
      </c>
      <c r="L15" s="434" cm="1">
        <f t="array" ref="L15">INDEX(L17:L19,$E$7)</f>
        <v>0.81</v>
      </c>
      <c r="M15" s="434" cm="1">
        <f t="array" ref="M15">INDEX(M17:M19,$E$7)</f>
        <v>0.81</v>
      </c>
      <c r="N15" s="434" cm="1">
        <f t="array" ref="N15">INDEX(N17:N19,$E$7)</f>
        <v>0.81</v>
      </c>
      <c r="O15" s="434" cm="1">
        <f t="array" ref="O15">INDEX(O17:O19,$E$7)</f>
        <v>0.81</v>
      </c>
      <c r="P15" s="435" cm="1">
        <f t="array" ref="P15">INDEX(P17:P19,$E$7)</f>
        <v>0.81</v>
      </c>
    </row>
    <row r="16" spans="1:16" ht="15" customHeight="1" outlineLevel="1">
      <c r="B16" s="15"/>
      <c r="C16" s="148"/>
      <c r="D16" s="148"/>
      <c r="E16" s="148"/>
      <c r="F16" s="148"/>
      <c r="G16" s="440"/>
      <c r="H16" s="440"/>
      <c r="I16" s="440"/>
      <c r="J16" s="440"/>
      <c r="K16" s="440"/>
      <c r="L16" s="436"/>
      <c r="M16" s="441"/>
      <c r="N16" s="438"/>
      <c r="O16" s="439"/>
      <c r="P16" s="439"/>
    </row>
    <row r="17" spans="2:18" ht="15" customHeight="1" outlineLevel="1">
      <c r="B17" s="149" t="str">
        <f>$B$11</f>
        <v>Best Case</v>
      </c>
      <c r="D17" s="230"/>
      <c r="E17" s="230"/>
      <c r="F17" s="230"/>
      <c r="G17" s="568">
        <v>0.82499999999999996</v>
      </c>
      <c r="H17" s="569">
        <v>0.82499999999999996</v>
      </c>
      <c r="I17" s="569">
        <v>0.82499999999999996</v>
      </c>
      <c r="J17" s="569">
        <v>0.82499999999999996</v>
      </c>
      <c r="K17" s="569">
        <v>0.82499999999999996</v>
      </c>
      <c r="L17" s="569">
        <v>0.82499999999999996</v>
      </c>
      <c r="M17" s="569">
        <v>0.82499999999999996</v>
      </c>
      <c r="N17" s="569">
        <v>0.82499999999999996</v>
      </c>
      <c r="O17" s="569">
        <v>0.82499999999999996</v>
      </c>
      <c r="P17" s="570">
        <v>0.82499999999999996</v>
      </c>
      <c r="Q17" s="432"/>
    </row>
    <row r="18" spans="2:18" ht="15" customHeight="1" outlineLevel="1">
      <c r="B18" s="149" t="str">
        <f>$B$12</f>
        <v>Base Case</v>
      </c>
      <c r="D18" s="230"/>
      <c r="E18" s="230"/>
      <c r="F18" s="230"/>
      <c r="G18" s="571">
        <v>0.81</v>
      </c>
      <c r="H18" s="572">
        <v>0.81</v>
      </c>
      <c r="I18" s="572">
        <v>0.81</v>
      </c>
      <c r="J18" s="572">
        <v>0.81</v>
      </c>
      <c r="K18" s="572">
        <v>0.81</v>
      </c>
      <c r="L18" s="572">
        <v>0.81</v>
      </c>
      <c r="M18" s="572">
        <v>0.81</v>
      </c>
      <c r="N18" s="572">
        <v>0.81</v>
      </c>
      <c r="O18" s="572">
        <v>0.81</v>
      </c>
      <c r="P18" s="573">
        <v>0.81</v>
      </c>
      <c r="Q18" s="432"/>
    </row>
    <row r="19" spans="2:18" ht="15" customHeight="1" outlineLevel="1">
      <c r="B19" s="149" t="str">
        <f>$B$13</f>
        <v>Worst Case</v>
      </c>
      <c r="D19" s="230"/>
      <c r="E19" s="230"/>
      <c r="F19" s="230"/>
      <c r="G19" s="574">
        <v>0.8</v>
      </c>
      <c r="H19" s="575">
        <v>0.8</v>
      </c>
      <c r="I19" s="575">
        <v>0.8</v>
      </c>
      <c r="J19" s="575">
        <v>0.8</v>
      </c>
      <c r="K19" s="575">
        <v>0.8</v>
      </c>
      <c r="L19" s="575">
        <v>0.8</v>
      </c>
      <c r="M19" s="575">
        <v>0.8</v>
      </c>
      <c r="N19" s="575">
        <v>0.8</v>
      </c>
      <c r="O19" s="575">
        <v>0.8</v>
      </c>
      <c r="P19" s="576">
        <v>0.8</v>
      </c>
      <c r="Q19" s="432"/>
    </row>
    <row r="20" spans="2:18" ht="15" customHeight="1" outlineLevel="1">
      <c r="B20" s="146"/>
      <c r="C20" s="146"/>
      <c r="D20" s="146"/>
      <c r="E20" s="146"/>
      <c r="F20" s="146"/>
      <c r="G20" s="442"/>
      <c r="H20" s="442"/>
      <c r="I20" s="442"/>
      <c r="J20" s="442"/>
      <c r="K20" s="442"/>
      <c r="L20" s="442"/>
      <c r="M20" s="442"/>
      <c r="N20" s="442"/>
      <c r="O20" s="442"/>
      <c r="P20" s="442"/>
    </row>
    <row r="21" spans="2:18" ht="15" customHeight="1" outlineLevel="1">
      <c r="B21" s="15" t="s">
        <v>328</v>
      </c>
      <c r="C21" s="148"/>
      <c r="D21" s="148"/>
      <c r="E21" s="148"/>
      <c r="F21" s="148"/>
      <c r="G21" s="433" cm="1">
        <f t="array" ref="G21">INDEX(G23:G25,$E$7)</f>
        <v>0.61</v>
      </c>
      <c r="H21" s="434" cm="1">
        <f t="array" ref="H21">INDEX(H23:H25,$E$7)</f>
        <v>0.56999999999999995</v>
      </c>
      <c r="I21" s="434" cm="1">
        <f t="array" ref="I21">INDEX(I23:I25,$E$7)</f>
        <v>0.54</v>
      </c>
      <c r="J21" s="434" cm="1">
        <f t="array" ref="J21">INDEX(J23:J25,$E$7)</f>
        <v>0.51</v>
      </c>
      <c r="K21" s="434" cm="1">
        <f t="array" ref="K21">INDEX(K23:K25,$E$7)</f>
        <v>0.48</v>
      </c>
      <c r="L21" s="434" cm="1">
        <f t="array" ref="L21">INDEX(L23:L25,$E$7)</f>
        <v>0.45</v>
      </c>
      <c r="M21" s="434" cm="1">
        <f t="array" ref="M21">INDEX(M23:M25,$E$7)</f>
        <v>0.43</v>
      </c>
      <c r="N21" s="434" cm="1">
        <f t="array" ref="N21">INDEX(N23:N25,$E$7)</f>
        <v>0.43</v>
      </c>
      <c r="O21" s="434" cm="1">
        <f t="array" ref="O21">INDEX(O23:O25,$E$7)</f>
        <v>0.42</v>
      </c>
      <c r="P21" s="435" cm="1">
        <f t="array" ref="P21">INDEX(P23:P25,$E$7)</f>
        <v>0.42</v>
      </c>
    </row>
    <row r="22" spans="2:18" ht="15" customHeight="1" outlineLevel="1">
      <c r="B22" s="146"/>
      <c r="C22" s="146"/>
      <c r="D22" s="146"/>
      <c r="E22" s="146"/>
      <c r="F22" s="146"/>
      <c r="G22" s="442"/>
      <c r="H22" s="442"/>
      <c r="I22" s="442"/>
      <c r="J22" s="442"/>
      <c r="K22" s="442"/>
      <c r="L22" s="442"/>
      <c r="M22" s="442"/>
      <c r="N22" s="442"/>
      <c r="O22" s="442"/>
      <c r="P22" s="442"/>
    </row>
    <row r="23" spans="2:18" ht="15" customHeight="1" outlineLevel="1">
      <c r="B23" s="149" t="str">
        <f>$B$11</f>
        <v>Best Case</v>
      </c>
      <c r="C23" s="146"/>
      <c r="D23" s="230"/>
      <c r="E23" s="146"/>
      <c r="F23" s="146"/>
      <c r="G23" s="568">
        <v>0.59</v>
      </c>
      <c r="H23" s="569">
        <v>0.55000000000000004</v>
      </c>
      <c r="I23" s="569">
        <v>0.52</v>
      </c>
      <c r="J23" s="569">
        <v>0.49</v>
      </c>
      <c r="K23" s="569">
        <v>0.46</v>
      </c>
      <c r="L23" s="569">
        <v>0.43</v>
      </c>
      <c r="M23" s="569">
        <v>0.4</v>
      </c>
      <c r="N23" s="569">
        <v>0.4</v>
      </c>
      <c r="O23" s="569">
        <v>0.39</v>
      </c>
      <c r="P23" s="570">
        <v>0.39</v>
      </c>
      <c r="Q23" s="405"/>
      <c r="R23" s="406"/>
    </row>
    <row r="24" spans="2:18" ht="15" customHeight="1" outlineLevel="1">
      <c r="B24" s="149" t="str">
        <f>$B$12</f>
        <v>Base Case</v>
      </c>
      <c r="C24" s="146"/>
      <c r="D24" s="146"/>
      <c r="E24" s="146"/>
      <c r="F24" s="146"/>
      <c r="G24" s="571">
        <v>0.61</v>
      </c>
      <c r="H24" s="572">
        <v>0.56999999999999995</v>
      </c>
      <c r="I24" s="572">
        <v>0.54</v>
      </c>
      <c r="J24" s="572">
        <v>0.51</v>
      </c>
      <c r="K24" s="572">
        <v>0.48</v>
      </c>
      <c r="L24" s="572">
        <v>0.45</v>
      </c>
      <c r="M24" s="572">
        <v>0.43</v>
      </c>
      <c r="N24" s="572">
        <v>0.43</v>
      </c>
      <c r="O24" s="572">
        <v>0.42</v>
      </c>
      <c r="P24" s="573">
        <v>0.42</v>
      </c>
      <c r="Q24" s="405"/>
      <c r="R24" s="406"/>
    </row>
    <row r="25" spans="2:18" ht="15" customHeight="1" outlineLevel="1">
      <c r="B25" s="149" t="str">
        <f>$B$13</f>
        <v>Worst Case</v>
      </c>
      <c r="C25" s="146"/>
      <c r="D25" s="146"/>
      <c r="E25" s="146"/>
      <c r="F25" s="146"/>
      <c r="G25" s="574">
        <v>0.63</v>
      </c>
      <c r="H25" s="575">
        <v>0.59</v>
      </c>
      <c r="I25" s="575">
        <v>0.56000000000000005</v>
      </c>
      <c r="J25" s="575">
        <v>0.53</v>
      </c>
      <c r="K25" s="575">
        <v>0.5</v>
      </c>
      <c r="L25" s="575">
        <v>0.47</v>
      </c>
      <c r="M25" s="575">
        <v>0.45</v>
      </c>
      <c r="N25" s="575">
        <v>0.44</v>
      </c>
      <c r="O25" s="575">
        <v>0.42499999999999999</v>
      </c>
      <c r="P25" s="576">
        <v>0.42499999999999999</v>
      </c>
      <c r="Q25" s="405"/>
      <c r="R25" s="406"/>
    </row>
    <row r="26" spans="2:18" ht="15" customHeight="1" outlineLevel="1">
      <c r="B26" s="15"/>
      <c r="C26" s="148"/>
      <c r="D26" s="148"/>
      <c r="E26" s="148"/>
      <c r="F26" s="148"/>
      <c r="G26" s="440"/>
      <c r="H26" s="440"/>
      <c r="I26" s="440"/>
      <c r="J26" s="440"/>
      <c r="K26" s="440"/>
      <c r="L26" s="436"/>
      <c r="M26" s="441"/>
      <c r="N26" s="438"/>
      <c r="O26" s="439"/>
      <c r="P26" s="439"/>
    </row>
    <row r="27" spans="2:18" ht="15" customHeight="1" outlineLevel="1">
      <c r="B27" s="15" t="s">
        <v>327</v>
      </c>
      <c r="C27" s="148"/>
      <c r="D27" s="148"/>
      <c r="E27" s="148"/>
      <c r="F27" s="148"/>
      <c r="G27" s="433" cm="1">
        <f t="array" ref="G27">INDEX(G29:G31,$E$7)</f>
        <v>0.19500000000000001</v>
      </c>
      <c r="H27" s="434" cm="1">
        <f t="array" ref="H27">INDEX(H29:H31,$E$7)</f>
        <v>0.18</v>
      </c>
      <c r="I27" s="434" cm="1">
        <f t="array" ref="I27">INDEX(I29:I31,$E$7)</f>
        <v>0.18</v>
      </c>
      <c r="J27" s="434" cm="1">
        <f t="array" ref="J27">INDEX(J29:J31,$E$7)</f>
        <v>0.17</v>
      </c>
      <c r="K27" s="434" cm="1">
        <f t="array" ref="K27">INDEX(K29:K31,$E$7)</f>
        <v>0.17</v>
      </c>
      <c r="L27" s="434" cm="1">
        <f t="array" ref="L27">INDEX(L29:L31,$E$7)</f>
        <v>0.16</v>
      </c>
      <c r="M27" s="434" cm="1">
        <f t="array" ref="M27">INDEX(M29:M31,$E$7)</f>
        <v>0.16</v>
      </c>
      <c r="N27" s="434" cm="1">
        <f t="array" ref="N27">INDEX(N29:N31,$E$7)</f>
        <v>0.16</v>
      </c>
      <c r="O27" s="434" cm="1">
        <f t="array" ref="O27">INDEX(O29:O31,$E$7)</f>
        <v>0.16</v>
      </c>
      <c r="P27" s="435" cm="1">
        <f t="array" ref="P27">INDEX(P29:P31,$E$7)</f>
        <v>0.16</v>
      </c>
    </row>
    <row r="28" spans="2:18" ht="15" customHeight="1" outlineLevel="1">
      <c r="B28" s="15"/>
      <c r="C28" s="148"/>
      <c r="D28" s="148"/>
      <c r="E28" s="148"/>
      <c r="F28" s="148"/>
      <c r="G28" s="440"/>
      <c r="H28" s="440"/>
      <c r="I28" s="440"/>
      <c r="J28" s="440"/>
      <c r="K28" s="440"/>
      <c r="L28" s="443"/>
      <c r="M28" s="441"/>
      <c r="N28" s="438"/>
      <c r="O28" s="444"/>
      <c r="P28" s="444"/>
    </row>
    <row r="29" spans="2:18" ht="15" customHeight="1" outlineLevel="1">
      <c r="B29" s="149" t="str">
        <f>$B$11</f>
        <v>Best Case</v>
      </c>
      <c r="D29" s="230"/>
      <c r="E29" s="230"/>
      <c r="F29" s="230"/>
      <c r="G29" s="568">
        <v>0.19</v>
      </c>
      <c r="H29" s="569">
        <v>0.17</v>
      </c>
      <c r="I29" s="569">
        <v>0.17</v>
      </c>
      <c r="J29" s="569">
        <v>0.16</v>
      </c>
      <c r="K29" s="569">
        <v>0.16</v>
      </c>
      <c r="L29" s="569">
        <v>0.15</v>
      </c>
      <c r="M29" s="569">
        <v>0.15</v>
      </c>
      <c r="N29" s="569">
        <v>0.15</v>
      </c>
      <c r="O29" s="569">
        <v>0.15</v>
      </c>
      <c r="P29" s="570">
        <v>0.15</v>
      </c>
    </row>
    <row r="30" spans="2:18" ht="15" customHeight="1" outlineLevel="1">
      <c r="B30" s="149" t="str">
        <f>$B$12</f>
        <v>Base Case</v>
      </c>
      <c r="D30" s="230"/>
      <c r="E30" s="230"/>
      <c r="F30" s="230"/>
      <c r="G30" s="571">
        <v>0.19500000000000001</v>
      </c>
      <c r="H30" s="572">
        <v>0.18</v>
      </c>
      <c r="I30" s="572">
        <v>0.18</v>
      </c>
      <c r="J30" s="572">
        <v>0.17</v>
      </c>
      <c r="K30" s="572">
        <v>0.17</v>
      </c>
      <c r="L30" s="572">
        <v>0.16</v>
      </c>
      <c r="M30" s="572">
        <v>0.16</v>
      </c>
      <c r="N30" s="572">
        <v>0.16</v>
      </c>
      <c r="O30" s="572">
        <v>0.16</v>
      </c>
      <c r="P30" s="573">
        <v>0.16</v>
      </c>
      <c r="Q30" s="405"/>
    </row>
    <row r="31" spans="2:18" ht="15" customHeight="1" outlineLevel="1">
      <c r="B31" s="149" t="str">
        <f>$B$13</f>
        <v>Worst Case</v>
      </c>
      <c r="D31" s="230"/>
      <c r="E31" s="230"/>
      <c r="F31" s="230"/>
      <c r="G31" s="574">
        <v>0.21</v>
      </c>
      <c r="H31" s="575">
        <v>0.19</v>
      </c>
      <c r="I31" s="575">
        <v>0.19</v>
      </c>
      <c r="J31" s="575">
        <v>0.18</v>
      </c>
      <c r="K31" s="575">
        <v>0.18</v>
      </c>
      <c r="L31" s="575">
        <v>0.17</v>
      </c>
      <c r="M31" s="575">
        <v>0.17</v>
      </c>
      <c r="N31" s="575">
        <v>0.17</v>
      </c>
      <c r="O31" s="575">
        <v>0.16500000000000001</v>
      </c>
      <c r="P31" s="576">
        <v>0.16500000000000001</v>
      </c>
    </row>
    <row r="32" spans="2:18" ht="15" customHeight="1" outlineLevel="1">
      <c r="G32" s="445"/>
      <c r="H32" s="445"/>
      <c r="I32" s="445"/>
      <c r="J32" s="445"/>
      <c r="K32" s="445"/>
      <c r="L32" s="445"/>
      <c r="M32" s="445"/>
      <c r="N32" s="445"/>
      <c r="O32" s="445"/>
      <c r="P32" s="445"/>
    </row>
    <row r="33" spans="1:17" ht="15" customHeight="1" outlineLevel="1">
      <c r="B33" s="15" t="s">
        <v>330</v>
      </c>
      <c r="C33" s="148"/>
      <c r="D33" s="148"/>
      <c r="E33" s="148"/>
      <c r="F33" s="148"/>
      <c r="G33" s="433" cm="1">
        <f t="array" ref="G33">INDEX(G35:G37,$E$7)</f>
        <v>0.02</v>
      </c>
      <c r="H33" s="434" cm="1">
        <f t="array" ref="H33">INDEX(H35:H37,$E$7)</f>
        <v>0.02</v>
      </c>
      <c r="I33" s="434" cm="1">
        <f t="array" ref="I33">INDEX(I35:I37,$E$7)</f>
        <v>0.02</v>
      </c>
      <c r="J33" s="434" cm="1">
        <f t="array" ref="J33">INDEX(J35:J37,$E$7)</f>
        <v>0.02</v>
      </c>
      <c r="K33" s="434" cm="1">
        <f t="array" ref="K33">INDEX(K35:K37,$E$7)</f>
        <v>0.02</v>
      </c>
      <c r="L33" s="434" cm="1">
        <f t="array" ref="L33">INDEX(L35:L37,$E$7)</f>
        <v>0.02</v>
      </c>
      <c r="M33" s="434" cm="1">
        <f t="array" ref="M33">INDEX(M35:M37,$E$7)</f>
        <v>0.02</v>
      </c>
      <c r="N33" s="434" cm="1">
        <f t="array" ref="N33">INDEX(N35:N37,$E$7)</f>
        <v>0.02</v>
      </c>
      <c r="O33" s="434" cm="1">
        <f t="array" ref="O33">INDEX(O35:O37,$E$7)</f>
        <v>0.02</v>
      </c>
      <c r="P33" s="435" cm="1">
        <f t="array" ref="P33">INDEX(P35:P37,$E$7)</f>
        <v>0.02</v>
      </c>
    </row>
    <row r="34" spans="1:17" ht="15" customHeight="1" outlineLevel="1">
      <c r="B34" s="15"/>
      <c r="C34" s="148"/>
      <c r="D34" s="148"/>
      <c r="E34" s="148"/>
      <c r="F34" s="148"/>
      <c r="G34" s="440"/>
      <c r="H34" s="440"/>
      <c r="I34" s="440"/>
      <c r="J34" s="440"/>
      <c r="K34" s="440"/>
      <c r="L34" s="443"/>
      <c r="M34" s="441"/>
      <c r="N34" s="438"/>
      <c r="O34" s="444"/>
      <c r="P34" s="444"/>
    </row>
    <row r="35" spans="1:17" ht="15" customHeight="1" outlineLevel="1">
      <c r="B35" s="149" t="str">
        <f>$B$11</f>
        <v>Best Case</v>
      </c>
      <c r="D35" s="230"/>
      <c r="E35" s="230"/>
      <c r="F35" s="230"/>
      <c r="G35" s="568">
        <v>0.02</v>
      </c>
      <c r="H35" s="569">
        <v>0.02</v>
      </c>
      <c r="I35" s="569">
        <v>0.02</v>
      </c>
      <c r="J35" s="569">
        <v>0.02</v>
      </c>
      <c r="K35" s="569">
        <v>0.02</v>
      </c>
      <c r="L35" s="569">
        <v>0.02</v>
      </c>
      <c r="M35" s="569">
        <v>0.02</v>
      </c>
      <c r="N35" s="569">
        <v>0.02</v>
      </c>
      <c r="O35" s="569">
        <v>0.02</v>
      </c>
      <c r="P35" s="570">
        <v>0.02</v>
      </c>
    </row>
    <row r="36" spans="1:17" ht="15" customHeight="1" outlineLevel="1">
      <c r="B36" s="149" t="str">
        <f>$B$12</f>
        <v>Base Case</v>
      </c>
      <c r="D36" s="230"/>
      <c r="E36" s="230"/>
      <c r="F36" s="230"/>
      <c r="G36" s="571">
        <v>0.02</v>
      </c>
      <c r="H36" s="572">
        <v>0.02</v>
      </c>
      <c r="I36" s="572">
        <v>0.02</v>
      </c>
      <c r="J36" s="572">
        <v>0.02</v>
      </c>
      <c r="K36" s="572">
        <v>0.02</v>
      </c>
      <c r="L36" s="572">
        <v>0.02</v>
      </c>
      <c r="M36" s="572">
        <v>0.02</v>
      </c>
      <c r="N36" s="572">
        <v>0.02</v>
      </c>
      <c r="O36" s="572">
        <v>0.02</v>
      </c>
      <c r="P36" s="573">
        <v>0.02</v>
      </c>
    </row>
    <row r="37" spans="1:17" ht="15" customHeight="1" outlineLevel="1">
      <c r="B37" s="149" t="str">
        <f>$B$13</f>
        <v>Worst Case</v>
      </c>
      <c r="D37" s="230"/>
      <c r="E37" s="230"/>
      <c r="F37" s="230"/>
      <c r="G37" s="574">
        <v>0.02</v>
      </c>
      <c r="H37" s="575">
        <v>0.02</v>
      </c>
      <c r="I37" s="575">
        <v>0.02</v>
      </c>
      <c r="J37" s="575">
        <v>0.02</v>
      </c>
      <c r="K37" s="575">
        <v>0.02</v>
      </c>
      <c r="L37" s="575">
        <v>0.02</v>
      </c>
      <c r="M37" s="575">
        <v>0.02</v>
      </c>
      <c r="N37" s="575">
        <v>0.02</v>
      </c>
      <c r="O37" s="575">
        <v>0.02</v>
      </c>
      <c r="P37" s="576">
        <v>0.02</v>
      </c>
    </row>
    <row r="38" spans="1:17" ht="15" customHeight="1" outlineLevel="1">
      <c r="B38" s="169"/>
      <c r="C38" s="170"/>
      <c r="D38" s="170"/>
      <c r="E38" s="170"/>
      <c r="F38" s="170"/>
      <c r="G38" s="170"/>
      <c r="H38" s="170"/>
      <c r="I38" s="170"/>
      <c r="J38" s="170"/>
      <c r="K38" s="170"/>
      <c r="L38" s="171"/>
      <c r="M38" s="171"/>
      <c r="N38" s="171"/>
      <c r="O38" s="171"/>
      <c r="P38" s="171"/>
    </row>
    <row r="39" spans="1:17" ht="15" customHeight="1">
      <c r="B39" s="147"/>
      <c r="C39" s="148"/>
      <c r="D39" s="148"/>
      <c r="E39" s="148"/>
      <c r="F39" s="148"/>
      <c r="G39" s="148"/>
      <c r="H39" s="148"/>
      <c r="I39" s="148"/>
      <c r="J39" s="148"/>
      <c r="K39" s="148"/>
      <c r="L39" s="146"/>
      <c r="M39" s="146"/>
      <c r="N39" s="146"/>
      <c r="O39" s="146"/>
      <c r="P39" s="146"/>
    </row>
    <row r="40" spans="1:17" ht="15" customHeight="1">
      <c r="A40" s="58" t="s">
        <v>39</v>
      </c>
      <c r="B40" s="564" t="s">
        <v>340</v>
      </c>
      <c r="C40" s="565"/>
      <c r="D40" s="565"/>
      <c r="E40" s="565"/>
      <c r="F40" s="566"/>
      <c r="G40" s="566"/>
      <c r="H40" s="566"/>
      <c r="I40" s="566"/>
      <c r="J40" s="566"/>
      <c r="K40" s="566"/>
      <c r="L40" s="567"/>
      <c r="M40" s="567"/>
      <c r="N40" s="567"/>
      <c r="O40" s="567"/>
      <c r="P40" s="567"/>
    </row>
    <row r="41" spans="1:17" ht="15" customHeight="1" outlineLevel="1">
      <c r="B41" s="147"/>
      <c r="C41" s="148"/>
      <c r="D41" s="148"/>
      <c r="E41" s="148"/>
      <c r="F41" s="148"/>
      <c r="G41" s="148"/>
      <c r="H41" s="148"/>
      <c r="I41" s="148"/>
      <c r="J41" s="148"/>
      <c r="K41" s="148"/>
      <c r="L41" s="146"/>
      <c r="M41" s="146"/>
      <c r="N41" s="146"/>
      <c r="O41" s="146"/>
      <c r="P41" s="146"/>
    </row>
    <row r="42" spans="1:17" ht="15" customHeight="1" outlineLevel="1" thickBot="1">
      <c r="B42" s="267" t="s">
        <v>8</v>
      </c>
      <c r="C42" s="10"/>
      <c r="D42" s="7"/>
      <c r="E42" s="7"/>
      <c r="F42" s="11"/>
      <c r="G42" s="577">
        <v>2025</v>
      </c>
      <c r="H42" s="577">
        <f>G42+1</f>
        <v>2026</v>
      </c>
      <c r="I42" s="577">
        <f t="shared" ref="I42" si="1">H42+1</f>
        <v>2027</v>
      </c>
      <c r="J42" s="577">
        <f t="shared" ref="J42" si="2">I42+1</f>
        <v>2028</v>
      </c>
      <c r="K42" s="577">
        <f t="shared" ref="K42" si="3">J42+1</f>
        <v>2029</v>
      </c>
      <c r="L42" s="577">
        <f t="shared" ref="L42" si="4">K42+1</f>
        <v>2030</v>
      </c>
      <c r="M42" s="577">
        <f t="shared" ref="M42" si="5">L42+1</f>
        <v>2031</v>
      </c>
      <c r="N42" s="577">
        <f t="shared" ref="N42" si="6">M42+1</f>
        <v>2032</v>
      </c>
      <c r="O42" s="577">
        <f t="shared" ref="O42" si="7">N42+1</f>
        <v>2033</v>
      </c>
      <c r="P42" s="577">
        <f t="shared" ref="P42" si="8">O42+1</f>
        <v>2034</v>
      </c>
    </row>
    <row r="43" spans="1:17" ht="15" customHeight="1" outlineLevel="1">
      <c r="B43" s="147"/>
      <c r="C43" s="148"/>
      <c r="D43" s="148"/>
      <c r="E43" s="148"/>
      <c r="F43" s="148"/>
      <c r="G43" s="148"/>
      <c r="H43" s="148"/>
      <c r="I43" s="148"/>
      <c r="J43" s="148"/>
      <c r="K43" s="148"/>
      <c r="L43" s="146"/>
      <c r="M43" s="146"/>
      <c r="N43" s="146"/>
      <c r="O43" s="146"/>
      <c r="P43" s="146"/>
    </row>
    <row r="44" spans="1:17" ht="15" customHeight="1" outlineLevel="1">
      <c r="B44" s="15" t="s">
        <v>90</v>
      </c>
      <c r="C44" s="148"/>
      <c r="D44" s="187"/>
      <c r="E44" s="153">
        <f>$E$7</f>
        <v>2</v>
      </c>
      <c r="F44" s="153"/>
      <c r="G44" s="153"/>
      <c r="H44" s="153"/>
      <c r="I44" s="153"/>
      <c r="J44" s="153"/>
      <c r="K44" s="153"/>
      <c r="L44" s="146"/>
      <c r="M44" s="146"/>
      <c r="N44" s="146"/>
      <c r="O44" s="146"/>
      <c r="P44" s="146"/>
    </row>
    <row r="45" spans="1:17" ht="15" customHeight="1" outlineLevel="1">
      <c r="B45" s="147"/>
      <c r="C45" s="148"/>
      <c r="D45" s="148"/>
      <c r="E45" s="148"/>
      <c r="F45" s="148"/>
      <c r="G45" s="148"/>
      <c r="H45" s="148"/>
      <c r="I45" s="148"/>
      <c r="J45" s="148"/>
      <c r="K45" s="148"/>
      <c r="L45" s="146"/>
      <c r="M45" s="146"/>
      <c r="N45" s="146"/>
      <c r="O45" s="146"/>
      <c r="P45" s="146"/>
    </row>
    <row r="46" spans="1:17" ht="15" customHeight="1" outlineLevel="1">
      <c r="B46" s="23" t="s">
        <v>2</v>
      </c>
      <c r="C46" s="250"/>
      <c r="D46" s="250"/>
      <c r="E46" s="148"/>
      <c r="F46" s="148"/>
      <c r="G46" s="596" cm="1">
        <f t="array" ref="G46">INDEX(G48:G50,$E$44)</f>
        <v>75</v>
      </c>
      <c r="H46" s="597" cm="1">
        <f t="array" ref="H46">INDEX(H48:H50,$E$44)</f>
        <v>70</v>
      </c>
      <c r="I46" s="597" cm="1">
        <f t="array" ref="I46">INDEX(I48:I50,$E$44)</f>
        <v>70</v>
      </c>
      <c r="J46" s="597" cm="1">
        <f t="array" ref="J46">INDEX(J48:J50,$E$44)</f>
        <v>70</v>
      </c>
      <c r="K46" s="597" cm="1">
        <f t="array" ref="K46">INDEX(K48:K50,$E$44)</f>
        <v>65</v>
      </c>
      <c r="L46" s="597" cm="1">
        <f t="array" ref="L46">INDEX(L48:L50,$E$44)</f>
        <v>65</v>
      </c>
      <c r="M46" s="597" cm="1">
        <f t="array" ref="M46">INDEX(M48:M50,$E$44)</f>
        <v>65</v>
      </c>
      <c r="N46" s="597" cm="1">
        <f t="array" ref="N46">INDEX(N48:N50,$E$44)</f>
        <v>60</v>
      </c>
      <c r="O46" s="597" cm="1">
        <f t="array" ref="O46">INDEX(O48:O50,$E$44)</f>
        <v>60</v>
      </c>
      <c r="P46" s="598" cm="1">
        <f t="array" ref="P46">INDEX(P48:P50,$E$44)</f>
        <v>55</v>
      </c>
    </row>
    <row r="47" spans="1:17" ht="15" customHeight="1" outlineLevel="1">
      <c r="B47" s="15"/>
      <c r="C47" s="318"/>
      <c r="D47" s="318"/>
      <c r="E47" s="148"/>
      <c r="F47" s="148"/>
      <c r="G47" s="148"/>
      <c r="H47" s="148"/>
      <c r="I47" s="148"/>
      <c r="J47" s="148"/>
      <c r="K47" s="148"/>
      <c r="L47" s="231"/>
      <c r="M47" s="191"/>
      <c r="N47" s="192"/>
      <c r="O47" s="193"/>
      <c r="P47" s="193"/>
    </row>
    <row r="48" spans="1:17" ht="15" customHeight="1" outlineLevel="1">
      <c r="B48" s="149" t="str">
        <f>$B$11</f>
        <v>Best Case</v>
      </c>
      <c r="C48" s="250" t="s">
        <v>3</v>
      </c>
      <c r="D48" s="250"/>
      <c r="E48" s="148"/>
      <c r="F48" s="148"/>
      <c r="G48" s="587">
        <v>70</v>
      </c>
      <c r="H48" s="588">
        <v>65</v>
      </c>
      <c r="I48" s="588">
        <v>65</v>
      </c>
      <c r="J48" s="588">
        <v>65</v>
      </c>
      <c r="K48" s="588">
        <v>60</v>
      </c>
      <c r="L48" s="588">
        <v>60</v>
      </c>
      <c r="M48" s="588">
        <v>55</v>
      </c>
      <c r="N48" s="588">
        <v>55</v>
      </c>
      <c r="O48" s="588">
        <v>55</v>
      </c>
      <c r="P48" s="589">
        <v>50</v>
      </c>
      <c r="Q48" s="410"/>
    </row>
    <row r="49" spans="1:17" ht="15" customHeight="1" outlineLevel="1">
      <c r="B49" s="149" t="str">
        <f>$B$12</f>
        <v>Base Case</v>
      </c>
      <c r="C49" s="250" t="s">
        <v>3</v>
      </c>
      <c r="D49" s="250"/>
      <c r="E49" s="148"/>
      <c r="F49" s="148"/>
      <c r="G49" s="590">
        <v>75</v>
      </c>
      <c r="H49" s="591">
        <v>70</v>
      </c>
      <c r="I49" s="591">
        <v>70</v>
      </c>
      <c r="J49" s="591">
        <v>70</v>
      </c>
      <c r="K49" s="591">
        <v>65</v>
      </c>
      <c r="L49" s="591">
        <v>65</v>
      </c>
      <c r="M49" s="591">
        <v>65</v>
      </c>
      <c r="N49" s="591">
        <v>60</v>
      </c>
      <c r="O49" s="591">
        <v>60</v>
      </c>
      <c r="P49" s="592">
        <v>55</v>
      </c>
      <c r="Q49" s="410"/>
    </row>
    <row r="50" spans="1:17" ht="15" customHeight="1" outlineLevel="1">
      <c r="B50" s="149" t="str">
        <f>$B$13</f>
        <v>Worst Case</v>
      </c>
      <c r="C50" s="250" t="s">
        <v>3</v>
      </c>
      <c r="D50" s="250"/>
      <c r="E50" s="148"/>
      <c r="F50" s="148"/>
      <c r="G50" s="593">
        <v>80</v>
      </c>
      <c r="H50" s="594">
        <v>75</v>
      </c>
      <c r="I50" s="594">
        <v>75</v>
      </c>
      <c r="J50" s="594">
        <v>75</v>
      </c>
      <c r="K50" s="594">
        <v>70</v>
      </c>
      <c r="L50" s="594">
        <v>70</v>
      </c>
      <c r="M50" s="594">
        <v>70</v>
      </c>
      <c r="N50" s="594">
        <v>65</v>
      </c>
      <c r="O50" s="594">
        <v>65</v>
      </c>
      <c r="P50" s="595">
        <v>60</v>
      </c>
      <c r="Q50" s="410"/>
    </row>
    <row r="51" spans="1:17" ht="15" customHeight="1" outlineLevel="1">
      <c r="B51" s="15"/>
      <c r="C51" s="318"/>
      <c r="D51" s="318"/>
      <c r="E51" s="148"/>
      <c r="F51" s="148"/>
      <c r="G51" s="148"/>
      <c r="H51" s="148"/>
      <c r="I51" s="148"/>
      <c r="J51" s="148"/>
      <c r="K51" s="148"/>
      <c r="L51" s="184"/>
      <c r="M51" s="184"/>
      <c r="N51" s="184"/>
      <c r="O51" s="184"/>
      <c r="P51" s="184"/>
    </row>
    <row r="52" spans="1:17" ht="15" customHeight="1" outlineLevel="1">
      <c r="B52" s="15" t="s">
        <v>4</v>
      </c>
      <c r="C52" s="250"/>
      <c r="D52" s="250"/>
      <c r="E52" s="148"/>
      <c r="F52" s="148"/>
      <c r="G52" s="596" cm="1">
        <f t="array" ref="G52">INDEX(G54:G56,$E$44)</f>
        <v>8</v>
      </c>
      <c r="H52" s="597" cm="1">
        <f t="array" ref="H52">INDEX(H54:H56,$E$44)</f>
        <v>10</v>
      </c>
      <c r="I52" s="597" cm="1">
        <f t="array" ref="I52">INDEX(I54:I56,$E$44)</f>
        <v>10</v>
      </c>
      <c r="J52" s="597" cm="1">
        <f t="array" ref="J52">INDEX(J54:J56,$E$44)</f>
        <v>12</v>
      </c>
      <c r="K52" s="597" cm="1">
        <f t="array" ref="K52">INDEX(K54:K56,$E$44)</f>
        <v>12</v>
      </c>
      <c r="L52" s="597" cm="1">
        <f t="array" ref="L52">INDEX(L54:L56,$E$44)</f>
        <v>14</v>
      </c>
      <c r="M52" s="597" cm="1">
        <f t="array" ref="M52">INDEX(M54:M56,$E$44)</f>
        <v>14</v>
      </c>
      <c r="N52" s="597" cm="1">
        <f t="array" ref="N52">INDEX(N54:N56,$E$44)</f>
        <v>16</v>
      </c>
      <c r="O52" s="597" cm="1">
        <f t="array" ref="O52">INDEX(O54:O56,$E$44)</f>
        <v>16</v>
      </c>
      <c r="P52" s="598" cm="1">
        <f t="array" ref="P52">INDEX(P54:P56,$E$44)</f>
        <v>18</v>
      </c>
    </row>
    <row r="53" spans="1:17" ht="15" customHeight="1" outlineLevel="1">
      <c r="B53" s="15"/>
      <c r="C53" s="319"/>
      <c r="D53" s="319"/>
      <c r="E53" s="148"/>
      <c r="F53" s="148"/>
      <c r="G53" s="148"/>
      <c r="H53" s="148"/>
      <c r="I53" s="148"/>
      <c r="J53" s="148"/>
      <c r="K53" s="148"/>
      <c r="L53" s="185"/>
      <c r="M53" s="185"/>
      <c r="N53" s="185"/>
      <c r="O53" s="185"/>
      <c r="P53" s="185"/>
    </row>
    <row r="54" spans="1:17" ht="15" customHeight="1" outlineLevel="1">
      <c r="B54" s="149" t="str">
        <f>$B$11</f>
        <v>Best Case</v>
      </c>
      <c r="C54" s="250" t="s">
        <v>3</v>
      </c>
      <c r="D54" s="250"/>
      <c r="E54" s="148"/>
      <c r="F54" s="148"/>
      <c r="G54" s="587">
        <v>10</v>
      </c>
      <c r="H54" s="588">
        <v>12</v>
      </c>
      <c r="I54" s="588">
        <v>12</v>
      </c>
      <c r="J54" s="588">
        <v>14</v>
      </c>
      <c r="K54" s="588">
        <v>14</v>
      </c>
      <c r="L54" s="588">
        <v>16</v>
      </c>
      <c r="M54" s="588">
        <v>16</v>
      </c>
      <c r="N54" s="588">
        <v>18</v>
      </c>
      <c r="O54" s="588">
        <v>18</v>
      </c>
      <c r="P54" s="589">
        <v>20</v>
      </c>
      <c r="Q54" s="410"/>
    </row>
    <row r="55" spans="1:17" ht="15" customHeight="1" outlineLevel="1">
      <c r="B55" s="149" t="str">
        <f>$B$12</f>
        <v>Base Case</v>
      </c>
      <c r="C55" s="250" t="s">
        <v>3</v>
      </c>
      <c r="D55" s="250"/>
      <c r="E55" s="148"/>
      <c r="F55" s="148"/>
      <c r="G55" s="590">
        <v>8</v>
      </c>
      <c r="H55" s="591">
        <v>10</v>
      </c>
      <c r="I55" s="591">
        <v>10</v>
      </c>
      <c r="J55" s="591">
        <v>12</v>
      </c>
      <c r="K55" s="591">
        <v>12</v>
      </c>
      <c r="L55" s="591">
        <v>14</v>
      </c>
      <c r="M55" s="591">
        <v>14</v>
      </c>
      <c r="N55" s="591">
        <v>16</v>
      </c>
      <c r="O55" s="591">
        <v>16</v>
      </c>
      <c r="P55" s="592">
        <v>18</v>
      </c>
    </row>
    <row r="56" spans="1:17" ht="15" customHeight="1" outlineLevel="1">
      <c r="B56" s="149" t="str">
        <f>$B$13</f>
        <v>Worst Case</v>
      </c>
      <c r="C56" s="250" t="s">
        <v>3</v>
      </c>
      <c r="D56" s="250"/>
      <c r="E56" s="148"/>
      <c r="F56" s="148"/>
      <c r="G56" s="593">
        <v>6</v>
      </c>
      <c r="H56" s="594">
        <v>8</v>
      </c>
      <c r="I56" s="594">
        <v>8</v>
      </c>
      <c r="J56" s="594">
        <v>10</v>
      </c>
      <c r="K56" s="594">
        <v>10</v>
      </c>
      <c r="L56" s="594">
        <v>12</v>
      </c>
      <c r="M56" s="594">
        <v>12</v>
      </c>
      <c r="N56" s="594">
        <v>14</v>
      </c>
      <c r="O56" s="594">
        <v>14</v>
      </c>
      <c r="P56" s="595">
        <v>16</v>
      </c>
    </row>
    <row r="57" spans="1:17" ht="15" customHeight="1" outlineLevel="1">
      <c r="B57" s="190" t="s">
        <v>39</v>
      </c>
      <c r="C57" s="171"/>
      <c r="D57" s="171"/>
      <c r="E57" s="171"/>
      <c r="F57" s="171"/>
      <c r="G57" s="171"/>
      <c r="H57" s="171"/>
      <c r="I57" s="171"/>
      <c r="J57" s="171"/>
      <c r="K57" s="171"/>
      <c r="L57" s="171"/>
      <c r="M57" s="171"/>
      <c r="N57" s="171"/>
      <c r="O57" s="171"/>
      <c r="P57" s="171"/>
    </row>
    <row r="58" spans="1:17" ht="15" customHeight="1">
      <c r="B58" s="189"/>
      <c r="C58" s="146"/>
      <c r="D58" s="146"/>
      <c r="E58" s="146"/>
      <c r="F58" s="146"/>
      <c r="G58" s="146"/>
      <c r="H58" s="146"/>
      <c r="I58" s="146"/>
      <c r="J58" s="146"/>
      <c r="K58" s="146"/>
      <c r="L58" s="146"/>
      <c r="M58" s="146"/>
      <c r="N58" s="146"/>
      <c r="O58" s="146"/>
      <c r="P58" s="146"/>
    </row>
    <row r="59" spans="1:17" ht="15" customHeight="1">
      <c r="A59" s="58" t="s">
        <v>39</v>
      </c>
      <c r="B59" s="564" t="s">
        <v>360</v>
      </c>
      <c r="C59" s="565"/>
      <c r="D59" s="565"/>
      <c r="E59" s="565"/>
      <c r="F59" s="566"/>
      <c r="G59" s="566"/>
      <c r="H59" s="566"/>
      <c r="I59" s="566"/>
      <c r="J59" s="566"/>
      <c r="K59" s="566"/>
      <c r="L59" s="567"/>
      <c r="M59" s="567"/>
      <c r="N59" s="567"/>
      <c r="O59" s="567"/>
      <c r="P59" s="567"/>
    </row>
    <row r="60" spans="1:17" ht="15" customHeight="1" outlineLevel="1">
      <c r="B60" s="147"/>
      <c r="C60" s="148"/>
      <c r="D60" s="148"/>
      <c r="E60" s="148"/>
      <c r="F60" s="148"/>
      <c r="G60" s="148"/>
      <c r="H60" s="148"/>
      <c r="I60" s="148"/>
      <c r="J60" s="148"/>
      <c r="K60" s="148"/>
      <c r="L60" s="146"/>
      <c r="M60" s="146"/>
      <c r="N60" s="146"/>
      <c r="O60" s="146"/>
      <c r="P60" s="146"/>
    </row>
    <row r="61" spans="1:17" ht="15" customHeight="1" outlineLevel="1" thickBot="1">
      <c r="B61" s="267" t="s">
        <v>8</v>
      </c>
      <c r="C61" s="10"/>
      <c r="D61" s="7"/>
      <c r="E61" s="7"/>
      <c r="F61" s="11"/>
      <c r="G61" s="577">
        <v>2025</v>
      </c>
      <c r="H61" s="577">
        <f>G61+1</f>
        <v>2026</v>
      </c>
      <c r="I61" s="577">
        <f t="shared" ref="I61" si="9">H61+1</f>
        <v>2027</v>
      </c>
      <c r="J61" s="577">
        <f t="shared" ref="J61" si="10">I61+1</f>
        <v>2028</v>
      </c>
      <c r="K61" s="577">
        <f t="shared" ref="K61" si="11">J61+1</f>
        <v>2029</v>
      </c>
      <c r="L61" s="577">
        <f t="shared" ref="L61" si="12">K61+1</f>
        <v>2030</v>
      </c>
      <c r="M61" s="577">
        <f t="shared" ref="M61" si="13">L61+1</f>
        <v>2031</v>
      </c>
      <c r="N61" s="577">
        <f t="shared" ref="N61" si="14">M61+1</f>
        <v>2032</v>
      </c>
      <c r="O61" s="577">
        <f t="shared" ref="O61" si="15">N61+1</f>
        <v>2033</v>
      </c>
      <c r="P61" s="577">
        <f t="shared" ref="P61" si="16">O61+1</f>
        <v>2034</v>
      </c>
    </row>
    <row r="62" spans="1:17" ht="15" customHeight="1" outlineLevel="1">
      <c r="B62" s="147"/>
      <c r="C62" s="148"/>
      <c r="D62" s="148"/>
      <c r="E62" s="148"/>
      <c r="F62" s="148"/>
      <c r="G62" s="148"/>
      <c r="H62" s="148"/>
      <c r="I62" s="148"/>
      <c r="J62" s="148"/>
      <c r="K62" s="148"/>
      <c r="L62" s="146"/>
      <c r="M62" s="146"/>
      <c r="N62" s="146"/>
      <c r="O62" s="146"/>
      <c r="P62" s="146"/>
    </row>
    <row r="63" spans="1:17" ht="15" customHeight="1" outlineLevel="1">
      <c r="B63" s="15" t="s">
        <v>90</v>
      </c>
      <c r="C63" s="148"/>
      <c r="D63" s="187"/>
      <c r="E63" s="153">
        <f>$E$7</f>
        <v>2</v>
      </c>
      <c r="F63" s="153"/>
      <c r="G63" s="153"/>
      <c r="H63" s="153"/>
      <c r="I63" s="153"/>
      <c r="J63" s="153"/>
      <c r="K63" s="153"/>
      <c r="L63" s="146"/>
      <c r="M63" s="146"/>
      <c r="N63" s="146"/>
      <c r="O63" s="146"/>
      <c r="P63" s="146"/>
    </row>
    <row r="64" spans="1:17" ht="15" customHeight="1" outlineLevel="1">
      <c r="B64" s="147"/>
      <c r="C64" s="148"/>
      <c r="D64" s="148"/>
      <c r="E64" s="148"/>
      <c r="F64" s="148"/>
      <c r="G64" s="148"/>
      <c r="H64" s="148"/>
      <c r="I64" s="148"/>
      <c r="J64" s="148"/>
      <c r="K64" s="148"/>
      <c r="L64" s="146"/>
      <c r="M64" s="146"/>
      <c r="N64" s="146"/>
      <c r="O64" s="146"/>
      <c r="P64" s="146"/>
    </row>
    <row r="65" spans="1:16" ht="15" customHeight="1" outlineLevel="1">
      <c r="B65" s="23" t="s">
        <v>407</v>
      </c>
      <c r="C65" s="250"/>
      <c r="D65" s="250"/>
      <c r="E65" s="148"/>
      <c r="F65" s="148"/>
      <c r="G65" s="341" cm="1">
        <f t="array" ref="G65">INDEX(G67:G69,$E$63)</f>
        <v>4.2500000000000003E-2</v>
      </c>
      <c r="H65" s="342" cm="1">
        <f t="array" ref="H65">INDEX(H67:H69,$E$63)</f>
        <v>3.7499999999999999E-2</v>
      </c>
      <c r="I65" s="342" cm="1">
        <f t="array" ref="I65">INDEX(I67:I69,$E$63)</f>
        <v>3.5000000000000003E-2</v>
      </c>
      <c r="J65" s="342" cm="1">
        <f t="array" ref="J65">INDEX(J67:J69,$E$63)</f>
        <v>3.2500000000000001E-2</v>
      </c>
      <c r="K65" s="342" cm="1">
        <f t="array" ref="K65">INDEX(K67:K69,$E$63)</f>
        <v>0.03</v>
      </c>
      <c r="L65" s="342" cm="1">
        <f t="array" ref="L65">INDEX(L67:L69,$E$63)</f>
        <v>0.03</v>
      </c>
      <c r="M65" s="342" cm="1">
        <f t="array" ref="M65">INDEX(M67:M69,$E$63)</f>
        <v>0.03</v>
      </c>
      <c r="N65" s="342" cm="1">
        <f t="array" ref="N65">INDEX(N67:N69,$E$63)</f>
        <v>0.03</v>
      </c>
      <c r="O65" s="342" cm="1">
        <f t="array" ref="O65">INDEX(O67:O69,$E$63)</f>
        <v>0.03</v>
      </c>
      <c r="P65" s="343" cm="1">
        <f t="array" ref="P65">INDEX(P67:P69,$E$63)</f>
        <v>0.03</v>
      </c>
    </row>
    <row r="66" spans="1:16" ht="15" customHeight="1" outlineLevel="1">
      <c r="B66" s="15"/>
      <c r="C66" s="319"/>
      <c r="D66" s="319"/>
      <c r="E66" s="148"/>
      <c r="F66" s="148"/>
      <c r="G66" s="148"/>
      <c r="H66" s="148"/>
      <c r="I66" s="148"/>
      <c r="J66" s="148"/>
      <c r="K66" s="148"/>
      <c r="L66" s="233"/>
      <c r="M66" s="194"/>
      <c r="N66" s="195"/>
      <c r="O66" s="196"/>
      <c r="P66" s="196"/>
    </row>
    <row r="67" spans="1:16" ht="15" customHeight="1" outlineLevel="1">
      <c r="B67" s="149" t="str">
        <f>$B$11</f>
        <v>Best Case</v>
      </c>
      <c r="C67" s="250" t="s">
        <v>147</v>
      </c>
      <c r="D67" s="250"/>
      <c r="E67" s="148"/>
      <c r="F67" s="148"/>
      <c r="G67" s="578">
        <v>4.2500000000000003E-2</v>
      </c>
      <c r="H67" s="579">
        <v>3.7499999999999999E-2</v>
      </c>
      <c r="I67" s="579">
        <v>3.5000000000000003E-2</v>
      </c>
      <c r="J67" s="579">
        <v>3.2500000000000001E-2</v>
      </c>
      <c r="K67" s="579">
        <v>0.03</v>
      </c>
      <c r="L67" s="579">
        <v>0.03</v>
      </c>
      <c r="M67" s="579">
        <v>0.03</v>
      </c>
      <c r="N67" s="579">
        <v>0.03</v>
      </c>
      <c r="O67" s="579">
        <v>0.03</v>
      </c>
      <c r="P67" s="580">
        <v>0.03</v>
      </c>
    </row>
    <row r="68" spans="1:16" ht="15" customHeight="1" outlineLevel="1">
      <c r="B68" s="149" t="str">
        <f>$B$12</f>
        <v>Base Case</v>
      </c>
      <c r="C68" s="250" t="s">
        <v>147</v>
      </c>
      <c r="D68" s="250"/>
      <c r="E68" s="148"/>
      <c r="F68" s="148"/>
      <c r="G68" s="581">
        <v>4.2500000000000003E-2</v>
      </c>
      <c r="H68" s="582">
        <v>3.7499999999999999E-2</v>
      </c>
      <c r="I68" s="582">
        <v>3.5000000000000003E-2</v>
      </c>
      <c r="J68" s="582">
        <v>3.2500000000000001E-2</v>
      </c>
      <c r="K68" s="582">
        <v>0.03</v>
      </c>
      <c r="L68" s="582">
        <v>0.03</v>
      </c>
      <c r="M68" s="582">
        <v>0.03</v>
      </c>
      <c r="N68" s="582">
        <v>0.03</v>
      </c>
      <c r="O68" s="582">
        <v>0.03</v>
      </c>
      <c r="P68" s="583">
        <v>0.03</v>
      </c>
    </row>
    <row r="69" spans="1:16" ht="15" customHeight="1" outlineLevel="1">
      <c r="B69" s="149" t="str">
        <f>$B$13</f>
        <v>Worst Case</v>
      </c>
      <c r="C69" s="250" t="s">
        <v>147</v>
      </c>
      <c r="D69" s="250"/>
      <c r="E69" s="148"/>
      <c r="F69" s="148"/>
      <c r="G69" s="584">
        <v>4.2500000000000003E-2</v>
      </c>
      <c r="H69" s="585">
        <v>3.7499999999999999E-2</v>
      </c>
      <c r="I69" s="585">
        <v>3.5000000000000003E-2</v>
      </c>
      <c r="J69" s="585">
        <v>3.2500000000000001E-2</v>
      </c>
      <c r="K69" s="585">
        <v>0.03</v>
      </c>
      <c r="L69" s="585">
        <v>0.03</v>
      </c>
      <c r="M69" s="585">
        <v>0.03</v>
      </c>
      <c r="N69" s="585">
        <v>0.03</v>
      </c>
      <c r="O69" s="585">
        <v>0.03</v>
      </c>
      <c r="P69" s="586">
        <v>0.03</v>
      </c>
    </row>
    <row r="70" spans="1:16" ht="15" customHeight="1" outlineLevel="1">
      <c r="B70" s="15"/>
      <c r="C70" s="148"/>
      <c r="D70" s="320"/>
      <c r="E70" s="148"/>
      <c r="F70" s="148"/>
      <c r="G70" s="148"/>
      <c r="H70" s="148"/>
      <c r="I70" s="148"/>
      <c r="J70" s="148"/>
      <c r="K70" s="148"/>
      <c r="L70" s="44"/>
      <c r="M70" s="44"/>
      <c r="N70" s="44"/>
      <c r="O70" s="44"/>
      <c r="P70" s="44"/>
    </row>
    <row r="71" spans="1:16" ht="15" customHeight="1" outlineLevel="1">
      <c r="B71" s="15" t="s">
        <v>329</v>
      </c>
      <c r="C71" s="148"/>
      <c r="D71" s="148"/>
      <c r="E71" s="148"/>
      <c r="F71" s="148"/>
      <c r="G71" s="341" cm="1">
        <f t="array" ref="G71">INDEX(G73:G75,$E$7)</f>
        <v>0.02</v>
      </c>
      <c r="H71" s="342" cm="1">
        <f t="array" ref="H71">INDEX(H73:H75,$E$7)</f>
        <v>0.02</v>
      </c>
      <c r="I71" s="342" cm="1">
        <f t="array" ref="I71">INDEX(I73:I75,$E$7)</f>
        <v>0.02</v>
      </c>
      <c r="J71" s="342" cm="1">
        <f t="array" ref="J71">INDEX(J73:J75,$E$7)</f>
        <v>0.02</v>
      </c>
      <c r="K71" s="342" cm="1">
        <f t="array" ref="K71">INDEX(K73:K75,$E$7)</f>
        <v>0.02</v>
      </c>
      <c r="L71" s="342" cm="1">
        <f t="array" ref="L71">INDEX(L73:L75,$E$7)</f>
        <v>0.02</v>
      </c>
      <c r="M71" s="342" cm="1">
        <f t="array" ref="M71">INDEX(M73:M75,$E$7)</f>
        <v>0.02</v>
      </c>
      <c r="N71" s="342" cm="1">
        <f t="array" ref="N71">INDEX(N73:N75,$E$7)</f>
        <v>0.02</v>
      </c>
      <c r="O71" s="342" cm="1">
        <f t="array" ref="O71">INDEX(O73:O75,$E$7)</f>
        <v>0.02</v>
      </c>
      <c r="P71" s="343" cm="1">
        <f t="array" ref="P71">INDEX(P73:P75,$E$7)</f>
        <v>0.02</v>
      </c>
    </row>
    <row r="72" spans="1:16" ht="15" customHeight="1" outlineLevel="1">
      <c r="B72" s="15"/>
      <c r="C72" s="148"/>
      <c r="D72" s="148"/>
      <c r="E72" s="148"/>
      <c r="F72" s="148"/>
      <c r="G72" s="148"/>
      <c r="H72" s="148"/>
      <c r="I72" s="148"/>
      <c r="J72" s="148"/>
      <c r="K72" s="148"/>
      <c r="L72" s="232"/>
      <c r="M72" s="166"/>
      <c r="N72" s="167"/>
      <c r="O72" s="168"/>
      <c r="P72" s="168"/>
    </row>
    <row r="73" spans="1:16" ht="15" customHeight="1" outlineLevel="1">
      <c r="B73" s="149" t="str">
        <f>$B$11</f>
        <v>Best Case</v>
      </c>
      <c r="D73" s="230"/>
      <c r="E73" s="230"/>
      <c r="F73" s="230"/>
      <c r="G73" s="578">
        <v>0.02</v>
      </c>
      <c r="H73" s="579">
        <v>0.02</v>
      </c>
      <c r="I73" s="579">
        <v>0.02</v>
      </c>
      <c r="J73" s="579">
        <v>0.02</v>
      </c>
      <c r="K73" s="579">
        <v>0.02</v>
      </c>
      <c r="L73" s="579">
        <v>0.02</v>
      </c>
      <c r="M73" s="579">
        <v>0.02</v>
      </c>
      <c r="N73" s="579">
        <v>0.02</v>
      </c>
      <c r="O73" s="579">
        <v>0.02</v>
      </c>
      <c r="P73" s="580">
        <v>0.02</v>
      </c>
    </row>
    <row r="74" spans="1:16" ht="15" customHeight="1" outlineLevel="1">
      <c r="B74" s="149" t="str">
        <f>$B$12</f>
        <v>Base Case</v>
      </c>
      <c r="D74" s="230"/>
      <c r="E74" s="230"/>
      <c r="F74" s="230"/>
      <c r="G74" s="581">
        <v>0.02</v>
      </c>
      <c r="H74" s="582">
        <v>0.02</v>
      </c>
      <c r="I74" s="582">
        <v>0.02</v>
      </c>
      <c r="J74" s="582">
        <v>0.02</v>
      </c>
      <c r="K74" s="582">
        <v>0.02</v>
      </c>
      <c r="L74" s="582">
        <v>0.02</v>
      </c>
      <c r="M74" s="582">
        <v>0.02</v>
      </c>
      <c r="N74" s="582">
        <v>0.02</v>
      </c>
      <c r="O74" s="582">
        <v>0.02</v>
      </c>
      <c r="P74" s="583">
        <v>0.02</v>
      </c>
    </row>
    <row r="75" spans="1:16" ht="15" customHeight="1" outlineLevel="1">
      <c r="B75" s="149" t="str">
        <f>$B$13</f>
        <v>Worst Case</v>
      </c>
      <c r="D75" s="230"/>
      <c r="E75" s="230"/>
      <c r="F75" s="230"/>
      <c r="G75" s="584">
        <v>0.02</v>
      </c>
      <c r="H75" s="585">
        <v>0.02</v>
      </c>
      <c r="I75" s="585">
        <v>0.02</v>
      </c>
      <c r="J75" s="585">
        <v>0.02</v>
      </c>
      <c r="K75" s="585">
        <v>0.02</v>
      </c>
      <c r="L75" s="585">
        <v>0.02</v>
      </c>
      <c r="M75" s="585">
        <v>0.02</v>
      </c>
      <c r="N75" s="585">
        <v>0.02</v>
      </c>
      <c r="O75" s="585">
        <v>0.02</v>
      </c>
      <c r="P75" s="586">
        <v>0.02</v>
      </c>
    </row>
    <row r="76" spans="1:16" ht="15" customHeight="1" outlineLevel="1">
      <c r="B76" s="190" t="s">
        <v>39</v>
      </c>
      <c r="C76" s="171"/>
      <c r="D76" s="171"/>
      <c r="E76" s="171"/>
      <c r="F76" s="171"/>
      <c r="G76" s="171"/>
      <c r="H76" s="171"/>
      <c r="I76" s="171"/>
      <c r="J76" s="171"/>
      <c r="K76" s="171"/>
      <c r="L76" s="171"/>
      <c r="M76" s="171"/>
      <c r="N76" s="171"/>
      <c r="O76" s="171"/>
      <c r="P76" s="171"/>
    </row>
    <row r="78" spans="1:16" ht="15" customHeight="1">
      <c r="A78" s="58" t="s">
        <v>39</v>
      </c>
      <c r="B78" s="564" t="s">
        <v>383</v>
      </c>
      <c r="C78" s="565"/>
      <c r="D78" s="565"/>
      <c r="E78" s="565"/>
      <c r="F78" s="566"/>
      <c r="G78" s="566"/>
      <c r="H78" s="566"/>
      <c r="I78" s="566"/>
      <c r="J78" s="566"/>
      <c r="K78" s="566"/>
      <c r="L78" s="567"/>
      <c r="M78" s="567"/>
      <c r="N78" s="567"/>
      <c r="O78" s="567"/>
      <c r="P78" s="567"/>
    </row>
    <row r="79" spans="1:16" outlineLevel="1"/>
    <row r="80" spans="1:16" ht="15" outlineLevel="1" thickBot="1">
      <c r="B80" s="15" t="s">
        <v>90</v>
      </c>
      <c r="C80" s="148"/>
      <c r="D80" s="187"/>
      <c r="E80" s="153">
        <f>$E$7</f>
        <v>2</v>
      </c>
      <c r="G80" s="577">
        <v>2025</v>
      </c>
      <c r="H80" s="577">
        <f>G80+1</f>
        <v>2026</v>
      </c>
      <c r="I80" s="577">
        <f t="shared" ref="I80" si="17">H80+1</f>
        <v>2027</v>
      </c>
      <c r="J80" s="577">
        <f t="shared" ref="J80" si="18">I80+1</f>
        <v>2028</v>
      </c>
      <c r="K80" s="577">
        <f t="shared" ref="K80" si="19">J80+1</f>
        <v>2029</v>
      </c>
      <c r="L80" s="577">
        <f t="shared" ref="L80" si="20">K80+1</f>
        <v>2030</v>
      </c>
      <c r="M80" s="577">
        <f t="shared" ref="M80" si="21">L80+1</f>
        <v>2031</v>
      </c>
      <c r="N80" s="577">
        <f t="shared" ref="N80" si="22">M80+1</f>
        <v>2032</v>
      </c>
      <c r="O80" s="577">
        <f t="shared" ref="O80" si="23">N80+1</f>
        <v>2033</v>
      </c>
      <c r="P80" s="577">
        <f t="shared" ref="P80" si="24">O80+1</f>
        <v>2034</v>
      </c>
    </row>
    <row r="81" spans="2:16" outlineLevel="1"/>
    <row r="82" spans="2:16" ht="15" customHeight="1" outlineLevel="1">
      <c r="B82" s="15" t="s">
        <v>102</v>
      </c>
      <c r="C82" s="148"/>
      <c r="D82" s="148"/>
      <c r="E82" s="148"/>
      <c r="F82" s="148"/>
      <c r="G82" s="341" cm="1">
        <f t="array" ref="G82">INDEX(G84:G86,$E$7)</f>
        <v>3.5000000000000003E-2</v>
      </c>
      <c r="H82" s="342" cm="1">
        <f t="array" ref="H82">INDEX(H84:H86,$E$7)</f>
        <v>3.5000000000000003E-2</v>
      </c>
      <c r="I82" s="342" cm="1">
        <f t="array" ref="I82">INDEX(I84:I86,$E$7)</f>
        <v>3.5000000000000003E-2</v>
      </c>
      <c r="J82" s="342" cm="1">
        <f t="array" ref="J82">INDEX(J84:J86,$E$7)</f>
        <v>3.5000000000000003E-2</v>
      </c>
      <c r="K82" s="342" cm="1">
        <f t="array" ref="K82">INDEX(K84:K86,$E$7)</f>
        <v>3.5000000000000003E-2</v>
      </c>
      <c r="L82" s="342" cm="1">
        <f t="array" ref="L82">INDEX(L84:L86,$E$7)</f>
        <v>3.5000000000000003E-2</v>
      </c>
      <c r="M82" s="342" cm="1">
        <f t="array" ref="M82">INDEX(M84:M86,$E$7)</f>
        <v>3.5000000000000003E-2</v>
      </c>
      <c r="N82" s="342" cm="1">
        <f t="array" ref="N82">INDEX(N84:N86,$E$7)</f>
        <v>3.5000000000000003E-2</v>
      </c>
      <c r="O82" s="342" cm="1">
        <f t="array" ref="O82">INDEX(O84:O86,$E$7)</f>
        <v>3.5000000000000003E-2</v>
      </c>
      <c r="P82" s="343" cm="1">
        <f t="array" ref="P82">INDEX(P84:P86,$E$7)</f>
        <v>3.5000000000000003E-2</v>
      </c>
    </row>
    <row r="83" spans="2:16" ht="15" customHeight="1" outlineLevel="1">
      <c r="B83" s="15"/>
      <c r="C83" s="148"/>
      <c r="D83" s="148"/>
      <c r="E83" s="148"/>
      <c r="F83" s="148"/>
      <c r="G83" s="148"/>
      <c r="H83" s="148"/>
      <c r="I83" s="148"/>
      <c r="J83" s="148"/>
      <c r="K83" s="148"/>
      <c r="L83" s="232"/>
      <c r="M83" s="166"/>
      <c r="N83" s="167"/>
      <c r="O83" s="168"/>
      <c r="P83" s="168"/>
    </row>
    <row r="84" spans="2:16" ht="15" customHeight="1" outlineLevel="1">
      <c r="B84" s="149" t="str">
        <f>$B$11</f>
        <v>Best Case</v>
      </c>
      <c r="D84" s="230"/>
      <c r="E84" s="230"/>
      <c r="F84" s="230"/>
      <c r="G84" s="578">
        <v>3.5000000000000003E-2</v>
      </c>
      <c r="H84" s="579">
        <v>3.5000000000000003E-2</v>
      </c>
      <c r="I84" s="579">
        <v>3.5000000000000003E-2</v>
      </c>
      <c r="J84" s="579">
        <v>3.5000000000000003E-2</v>
      </c>
      <c r="K84" s="579">
        <v>3.5000000000000003E-2</v>
      </c>
      <c r="L84" s="579">
        <v>3.5000000000000003E-2</v>
      </c>
      <c r="M84" s="579">
        <v>3.5000000000000003E-2</v>
      </c>
      <c r="N84" s="579">
        <v>3.5000000000000003E-2</v>
      </c>
      <c r="O84" s="579">
        <v>3.5000000000000003E-2</v>
      </c>
      <c r="P84" s="580">
        <v>3.5000000000000003E-2</v>
      </c>
    </row>
    <row r="85" spans="2:16" ht="15" customHeight="1" outlineLevel="1">
      <c r="B85" s="149" t="str">
        <f>$B$12</f>
        <v>Base Case</v>
      </c>
      <c r="D85" s="230"/>
      <c r="E85" s="230"/>
      <c r="F85" s="230"/>
      <c r="G85" s="581">
        <v>3.5000000000000003E-2</v>
      </c>
      <c r="H85" s="582">
        <v>3.5000000000000003E-2</v>
      </c>
      <c r="I85" s="582">
        <v>3.5000000000000003E-2</v>
      </c>
      <c r="J85" s="582">
        <v>3.5000000000000003E-2</v>
      </c>
      <c r="K85" s="582">
        <v>3.5000000000000003E-2</v>
      </c>
      <c r="L85" s="582">
        <v>3.5000000000000003E-2</v>
      </c>
      <c r="M85" s="582">
        <v>3.5000000000000003E-2</v>
      </c>
      <c r="N85" s="582">
        <v>3.5000000000000003E-2</v>
      </c>
      <c r="O85" s="582">
        <v>3.5000000000000003E-2</v>
      </c>
      <c r="P85" s="583">
        <v>3.5000000000000003E-2</v>
      </c>
    </row>
    <row r="86" spans="2:16" ht="15" customHeight="1" outlineLevel="1">
      <c r="B86" s="149" t="str">
        <f>$B$13</f>
        <v>Worst Case</v>
      </c>
      <c r="D86" s="230"/>
      <c r="E86" s="230"/>
      <c r="F86" s="230"/>
      <c r="G86" s="584">
        <v>3.5000000000000003E-2</v>
      </c>
      <c r="H86" s="585">
        <v>3.5000000000000003E-2</v>
      </c>
      <c r="I86" s="585">
        <v>3.5000000000000003E-2</v>
      </c>
      <c r="J86" s="585">
        <v>3.5000000000000003E-2</v>
      </c>
      <c r="K86" s="585">
        <v>3.5000000000000003E-2</v>
      </c>
      <c r="L86" s="585">
        <v>3.5000000000000003E-2</v>
      </c>
      <c r="M86" s="585">
        <v>3.5000000000000003E-2</v>
      </c>
      <c r="N86" s="585">
        <v>3.5000000000000003E-2</v>
      </c>
      <c r="O86" s="585">
        <v>3.5000000000000003E-2</v>
      </c>
      <c r="P86" s="586">
        <v>3.5000000000000003E-2</v>
      </c>
    </row>
    <row r="87" spans="2:16" outlineLevel="1"/>
    <row r="88" spans="2:16" outlineLevel="1">
      <c r="B88" s="15" t="s">
        <v>172</v>
      </c>
      <c r="C88" s="148"/>
      <c r="D88" s="320"/>
      <c r="G88" s="341" cm="1">
        <f t="array" ref="G88">INDEX(G90:G92,$E$7)</f>
        <v>0</v>
      </c>
      <c r="H88" s="342" cm="1">
        <f t="array" ref="H88">INDEX(H90:H92,$E$7)</f>
        <v>0</v>
      </c>
      <c r="I88" s="342" cm="1">
        <f t="array" ref="I88">INDEX(I90:I92,$E$7)</f>
        <v>0</v>
      </c>
      <c r="J88" s="342" cm="1">
        <f t="array" ref="J88">INDEX(J90:J92,$E$7)</f>
        <v>0</v>
      </c>
      <c r="K88" s="342" cm="1">
        <f t="array" ref="K88">INDEX(K90:K92,$E$7)</f>
        <v>0</v>
      </c>
      <c r="L88" s="342" cm="1">
        <f t="array" ref="L88">INDEX(L90:L92,$E$7)</f>
        <v>0</v>
      </c>
      <c r="M88" s="342" cm="1">
        <f t="array" ref="M88">INDEX(M90:M92,$E$7)</f>
        <v>0</v>
      </c>
      <c r="N88" s="342" cm="1">
        <f t="array" ref="N88">INDEX(N90:N92,$E$7)</f>
        <v>0</v>
      </c>
      <c r="O88" s="342" cm="1">
        <f t="array" ref="O88">INDEX(O90:O92,$E$7)</f>
        <v>0</v>
      </c>
      <c r="P88" s="343" cm="1">
        <f t="array" ref="P88">INDEX(P90:P92,$E$7)</f>
        <v>0</v>
      </c>
    </row>
    <row r="89" spans="2:16" ht="16" outlineLevel="1">
      <c r="B89" s="15"/>
      <c r="C89" s="148"/>
      <c r="D89" s="319"/>
      <c r="G89" s="148"/>
      <c r="H89" s="148"/>
      <c r="I89" s="148"/>
      <c r="J89" s="148"/>
      <c r="K89" s="148"/>
      <c r="L89" s="232"/>
      <c r="M89" s="166"/>
      <c r="N89" s="167"/>
      <c r="O89" s="168"/>
      <c r="P89" s="168"/>
    </row>
    <row r="90" spans="2:16" outlineLevel="1">
      <c r="B90" s="149" t="str">
        <f>$B$11</f>
        <v>Best Case</v>
      </c>
      <c r="C90" s="148"/>
      <c r="D90" s="250"/>
      <c r="G90" s="393">
        <v>0</v>
      </c>
      <c r="H90" s="394">
        <v>0</v>
      </c>
      <c r="I90" s="394">
        <v>0</v>
      </c>
      <c r="J90" s="394">
        <v>0</v>
      </c>
      <c r="K90" s="394">
        <v>0</v>
      </c>
      <c r="L90" s="394">
        <v>0</v>
      </c>
      <c r="M90" s="394">
        <v>0</v>
      </c>
      <c r="N90" s="394">
        <v>0</v>
      </c>
      <c r="O90" s="394">
        <v>0</v>
      </c>
      <c r="P90" s="395">
        <v>0</v>
      </c>
    </row>
    <row r="91" spans="2:16" outlineLevel="1">
      <c r="B91" s="149" t="str">
        <f>$B$12</f>
        <v>Base Case</v>
      </c>
      <c r="C91" s="148"/>
      <c r="D91" s="250"/>
      <c r="G91" s="396">
        <v>0</v>
      </c>
      <c r="H91" s="397">
        <v>0</v>
      </c>
      <c r="I91" s="397">
        <v>0</v>
      </c>
      <c r="J91" s="397">
        <v>0</v>
      </c>
      <c r="K91" s="397">
        <v>0</v>
      </c>
      <c r="L91" s="397">
        <v>0</v>
      </c>
      <c r="M91" s="397">
        <v>0</v>
      </c>
      <c r="N91" s="397">
        <v>0</v>
      </c>
      <c r="O91" s="397">
        <v>0</v>
      </c>
      <c r="P91" s="398">
        <v>0</v>
      </c>
    </row>
    <row r="92" spans="2:16" outlineLevel="1">
      <c r="B92" s="149" t="str">
        <f>$B$13</f>
        <v>Worst Case</v>
      </c>
      <c r="C92" s="148"/>
      <c r="D92" s="250"/>
      <c r="G92" s="399">
        <v>0</v>
      </c>
      <c r="H92" s="400">
        <v>0</v>
      </c>
      <c r="I92" s="400">
        <v>0</v>
      </c>
      <c r="J92" s="400">
        <v>0</v>
      </c>
      <c r="K92" s="400">
        <v>0</v>
      </c>
      <c r="L92" s="400">
        <v>0</v>
      </c>
      <c r="M92" s="400">
        <v>0</v>
      </c>
      <c r="N92" s="400">
        <v>0</v>
      </c>
      <c r="O92" s="400">
        <v>0</v>
      </c>
      <c r="P92" s="401">
        <v>0</v>
      </c>
    </row>
    <row r="93" spans="2:16" outlineLevel="1">
      <c r="B93" s="15"/>
      <c r="C93" s="148"/>
      <c r="D93" s="319"/>
    </row>
    <row r="94" spans="2:16" outlineLevel="1">
      <c r="B94" s="15"/>
      <c r="C94" s="148"/>
      <c r="D94" s="319"/>
    </row>
    <row r="95" spans="2:16" outlineLevel="1">
      <c r="B95" s="15" t="s">
        <v>173</v>
      </c>
      <c r="C95" s="148"/>
      <c r="D95" s="320"/>
      <c r="G95" s="341" cm="1">
        <f t="array" ref="G95">INDEX(G97:G99,$E$7)</f>
        <v>0</v>
      </c>
      <c r="H95" s="342" cm="1">
        <f t="array" ref="H95">INDEX(H97:H99,$E$7)</f>
        <v>0</v>
      </c>
      <c r="I95" s="342" cm="1">
        <f t="array" ref="I95">INDEX(I97:I99,$E$7)</f>
        <v>0</v>
      </c>
      <c r="J95" s="342" cm="1">
        <f t="array" ref="J95">INDEX(J97:J99,$E$7)</f>
        <v>0</v>
      </c>
      <c r="K95" s="342" cm="1">
        <f t="array" ref="K95">INDEX(K97:K99,$E$7)</f>
        <v>0</v>
      </c>
      <c r="L95" s="342" cm="1">
        <f t="array" ref="L95">INDEX(L97:L99,$E$7)</f>
        <v>0</v>
      </c>
      <c r="M95" s="342" cm="1">
        <f t="array" ref="M95">INDEX(M97:M99,$E$7)</f>
        <v>0</v>
      </c>
      <c r="N95" s="342" cm="1">
        <f t="array" ref="N95">INDEX(N97:N99,$E$7)</f>
        <v>0</v>
      </c>
      <c r="O95" s="342" cm="1">
        <f t="array" ref="O95">INDEX(O97:O99,$E$7)</f>
        <v>0</v>
      </c>
      <c r="P95" s="343" cm="1">
        <f t="array" ref="P95">INDEX(P97:P99,$E$7)</f>
        <v>0</v>
      </c>
    </row>
    <row r="96" spans="2:16" ht="16" outlineLevel="1">
      <c r="B96" s="15"/>
      <c r="C96" s="148"/>
      <c r="D96" s="319"/>
      <c r="G96" s="148"/>
      <c r="H96" s="148"/>
      <c r="I96" s="148"/>
      <c r="J96" s="148"/>
      <c r="K96" s="148"/>
      <c r="L96" s="232"/>
      <c r="M96" s="166"/>
      <c r="N96" s="167"/>
      <c r="O96" s="168"/>
      <c r="P96" s="168"/>
    </row>
    <row r="97" spans="2:16" outlineLevel="1">
      <c r="B97" s="149" t="str">
        <f>$B$11</f>
        <v>Best Case</v>
      </c>
      <c r="C97" s="148"/>
      <c r="D97" s="250"/>
      <c r="G97" s="393">
        <v>0</v>
      </c>
      <c r="H97" s="394">
        <v>0</v>
      </c>
      <c r="I97" s="394">
        <v>0</v>
      </c>
      <c r="J97" s="394">
        <v>0</v>
      </c>
      <c r="K97" s="394">
        <v>0</v>
      </c>
      <c r="L97" s="394">
        <v>0</v>
      </c>
      <c r="M97" s="394">
        <v>0</v>
      </c>
      <c r="N97" s="394">
        <v>0</v>
      </c>
      <c r="O97" s="394">
        <v>0</v>
      </c>
      <c r="P97" s="395">
        <v>0</v>
      </c>
    </row>
    <row r="98" spans="2:16" outlineLevel="1">
      <c r="B98" s="149" t="str">
        <f>$B$12</f>
        <v>Base Case</v>
      </c>
      <c r="C98" s="148"/>
      <c r="D98" s="250"/>
      <c r="G98" s="396">
        <v>0</v>
      </c>
      <c r="H98" s="397">
        <v>0</v>
      </c>
      <c r="I98" s="397">
        <v>0</v>
      </c>
      <c r="J98" s="397">
        <v>0</v>
      </c>
      <c r="K98" s="397">
        <v>0</v>
      </c>
      <c r="L98" s="397">
        <v>0</v>
      </c>
      <c r="M98" s="397">
        <v>0</v>
      </c>
      <c r="N98" s="397">
        <v>0</v>
      </c>
      <c r="O98" s="397">
        <v>0</v>
      </c>
      <c r="P98" s="398">
        <v>0</v>
      </c>
    </row>
    <row r="99" spans="2:16" outlineLevel="1">
      <c r="B99" s="149" t="str">
        <f>$B$13</f>
        <v>Worst Case</v>
      </c>
      <c r="C99" s="148"/>
      <c r="D99" s="250"/>
      <c r="G99" s="399">
        <v>0</v>
      </c>
      <c r="H99" s="400">
        <v>0</v>
      </c>
      <c r="I99" s="400">
        <v>0</v>
      </c>
      <c r="J99" s="400">
        <v>0</v>
      </c>
      <c r="K99" s="400">
        <v>0</v>
      </c>
      <c r="L99" s="400">
        <v>0</v>
      </c>
      <c r="M99" s="400">
        <v>0</v>
      </c>
      <c r="N99" s="400">
        <v>0</v>
      </c>
      <c r="O99" s="400">
        <v>0</v>
      </c>
      <c r="P99" s="401">
        <v>0</v>
      </c>
    </row>
    <row r="100" spans="2:16" ht="15" customHeight="1" outlineLevel="1">
      <c r="B100" s="190" t="s">
        <v>39</v>
      </c>
      <c r="C100" s="171"/>
      <c r="D100" s="171"/>
      <c r="E100" s="171"/>
      <c r="F100" s="171"/>
      <c r="G100" s="171"/>
      <c r="H100" s="171"/>
      <c r="I100" s="171"/>
      <c r="J100" s="171"/>
      <c r="K100" s="171"/>
      <c r="L100" s="171"/>
      <c r="M100" s="171"/>
      <c r="N100" s="171"/>
      <c r="O100" s="171"/>
      <c r="P100" s="171"/>
    </row>
  </sheetData>
  <conditionalFormatting sqref="G67:G69">
    <cfRule type="containsText" dxfId="93" priority="13" operator="containsText" text="OK">
      <formula>NOT(ISERROR(SEARCH("OK",G67)))</formula>
    </cfRule>
    <cfRule type="containsText" dxfId="92" priority="14" operator="containsText" text="ERROR">
      <formula>NOT(ISERROR(SEARCH("ERROR",G67)))</formula>
    </cfRule>
  </conditionalFormatting>
  <conditionalFormatting sqref="G13:M13">
    <cfRule type="containsText" dxfId="91" priority="144" operator="containsText" text="ERROR">
      <formula>NOT(ISERROR(SEARCH("ERROR",G13)))</formula>
    </cfRule>
    <cfRule type="containsText" dxfId="90" priority="143" operator="containsText" text="OK">
      <formula>NOT(ISERROR(SEARCH("OK",G13)))</formula>
    </cfRule>
  </conditionalFormatting>
  <conditionalFormatting sqref="G31:M31">
    <cfRule type="containsText" dxfId="89" priority="19" operator="containsText" text="OK">
      <formula>NOT(ISERROR(SEARCH("OK",G31)))</formula>
    </cfRule>
    <cfRule type="containsText" dxfId="88" priority="20" operator="containsText" text="ERROR">
      <formula>NOT(ISERROR(SEARCH("ERROR",G31)))</formula>
    </cfRule>
  </conditionalFormatting>
  <conditionalFormatting sqref="G86:M86">
    <cfRule type="containsText" dxfId="87" priority="79" operator="containsText" text="OK">
      <formula>NOT(ISERROR(SEARCH("OK",G86)))</formula>
    </cfRule>
    <cfRule type="containsText" dxfId="86" priority="80" operator="containsText" text="ERROR">
      <formula>NOT(ISERROR(SEARCH("ERROR",G86)))</formula>
    </cfRule>
  </conditionalFormatting>
  <conditionalFormatting sqref="G92:M92">
    <cfRule type="containsText" dxfId="85" priority="42" operator="containsText" text="ERROR">
      <formula>NOT(ISERROR(SEARCH("ERROR",G92)))</formula>
    </cfRule>
    <cfRule type="containsText" dxfId="84" priority="41" operator="containsText" text="OK">
      <formula>NOT(ISERROR(SEARCH("OK",G92)))</formula>
    </cfRule>
  </conditionalFormatting>
  <conditionalFormatting sqref="G99:M99">
    <cfRule type="containsText" dxfId="83" priority="33" operator="containsText" text="OK">
      <formula>NOT(ISERROR(SEARCH("OK",G99)))</formula>
    </cfRule>
    <cfRule type="containsText" dxfId="82" priority="34" operator="containsText" text="ERROR">
      <formula>NOT(ISERROR(SEARCH("ERROR",G99)))</formula>
    </cfRule>
  </conditionalFormatting>
  <conditionalFormatting sqref="G12:N12">
    <cfRule type="containsText" dxfId="81" priority="145" operator="containsText" text="OK">
      <formula>NOT(ISERROR(SEARCH("OK",G12)))</formula>
    </cfRule>
    <cfRule type="containsText" dxfId="80" priority="146" operator="containsText" text="ERROR">
      <formula>NOT(ISERROR(SEARCH("ERROR",G12)))</formula>
    </cfRule>
  </conditionalFormatting>
  <conditionalFormatting sqref="G18:N18">
    <cfRule type="containsText" dxfId="79" priority="138" operator="containsText" text="ERROR">
      <formula>NOT(ISERROR(SEARCH("ERROR",G18)))</formula>
    </cfRule>
    <cfRule type="containsText" dxfId="78" priority="137" operator="containsText" text="OK">
      <formula>NOT(ISERROR(SEARCH("OK",G18)))</formula>
    </cfRule>
  </conditionalFormatting>
  <conditionalFormatting sqref="G74:N74">
    <cfRule type="containsText" dxfId="77" priority="71" operator="containsText" text="OK">
      <formula>NOT(ISERROR(SEARCH("OK",G74)))</formula>
    </cfRule>
    <cfRule type="containsText" dxfId="76" priority="72" operator="containsText" text="ERROR">
      <formula>NOT(ISERROR(SEARCH("ERROR",G74)))</formula>
    </cfRule>
  </conditionalFormatting>
  <conditionalFormatting sqref="G85:N85">
    <cfRule type="containsText" dxfId="75" priority="82" operator="containsText" text="ERROR">
      <formula>NOT(ISERROR(SEARCH("ERROR",G85)))</formula>
    </cfRule>
    <cfRule type="containsText" dxfId="74" priority="81" operator="containsText" text="OK">
      <formula>NOT(ISERROR(SEARCH("OK",G85)))</formula>
    </cfRule>
  </conditionalFormatting>
  <conditionalFormatting sqref="G91:N91">
    <cfRule type="containsText" dxfId="73" priority="44" operator="containsText" text="ERROR">
      <formula>NOT(ISERROR(SEARCH("ERROR",G91)))</formula>
    </cfRule>
    <cfRule type="containsText" dxfId="72" priority="43" operator="containsText" text="OK">
      <formula>NOT(ISERROR(SEARCH("OK",G91)))</formula>
    </cfRule>
  </conditionalFormatting>
  <conditionalFormatting sqref="G98:N98">
    <cfRule type="containsText" dxfId="71" priority="35" operator="containsText" text="OK">
      <formula>NOT(ISERROR(SEARCH("OK",G98)))</formula>
    </cfRule>
    <cfRule type="containsText" dxfId="70" priority="36" operator="containsText" text="ERROR">
      <formula>NOT(ISERROR(SEARCH("ERROR",G98)))</formula>
    </cfRule>
  </conditionalFormatting>
  <conditionalFormatting sqref="G19:O19">
    <cfRule type="containsText" dxfId="69" priority="136" operator="containsText" text="ERROR">
      <formula>NOT(ISERROR(SEARCH("ERROR",G19)))</formula>
    </cfRule>
    <cfRule type="containsText" dxfId="68" priority="135" operator="containsText" text="OK">
      <formula>NOT(ISERROR(SEARCH("OK",G19)))</formula>
    </cfRule>
  </conditionalFormatting>
  <conditionalFormatting sqref="G24:O25">
    <cfRule type="containsText" dxfId="67" priority="27" operator="containsText" text="OK">
      <formula>NOT(ISERROR(SEARCH("OK",G24)))</formula>
    </cfRule>
    <cfRule type="containsText" dxfId="66" priority="28" operator="containsText" text="ERROR">
      <formula>NOT(ISERROR(SEARCH("ERROR",G24)))</formula>
    </cfRule>
  </conditionalFormatting>
  <conditionalFormatting sqref="G30:O30">
    <cfRule type="containsText" dxfId="65" priority="21" operator="containsText" text="OK">
      <formula>NOT(ISERROR(SEARCH("OK",G30)))</formula>
    </cfRule>
    <cfRule type="containsText" dxfId="64" priority="22" operator="containsText" text="ERROR">
      <formula>NOT(ISERROR(SEARCH("ERROR",G30)))</formula>
    </cfRule>
  </conditionalFormatting>
  <conditionalFormatting sqref="G33:O33 L34:O34 L36:O37">
    <cfRule type="containsText" dxfId="63" priority="118" operator="containsText" text="ERROR">
      <formula>NOT(ISERROR(SEARCH("ERROR",G33)))</formula>
    </cfRule>
  </conditionalFormatting>
  <conditionalFormatting sqref="G36:O37">
    <cfRule type="containsText" dxfId="62" priority="109" operator="containsText" text="OK">
      <formula>NOT(ISERROR(SEARCH("OK",G36)))</formula>
    </cfRule>
    <cfRule type="containsText" dxfId="61" priority="110" operator="containsText" text="ERROR">
      <formula>NOT(ISERROR(SEARCH("ERROR",G36)))</formula>
    </cfRule>
  </conditionalFormatting>
  <conditionalFormatting sqref="G65:O65">
    <cfRule type="containsText" dxfId="60" priority="2" operator="containsText" text="ERROR">
      <formula>NOT(ISERROR(SEARCH("ERROR",G65)))</formula>
    </cfRule>
    <cfRule type="containsText" dxfId="59" priority="1" operator="containsText" text="OK">
      <formula>NOT(ISERROR(SEARCH("OK",G65)))</formula>
    </cfRule>
  </conditionalFormatting>
  <conditionalFormatting sqref="G71:O71 L72:O72 L74:O74">
    <cfRule type="containsText" dxfId="58" priority="78" operator="containsText" text="ERROR">
      <formula>NOT(ISERROR(SEARCH("ERROR",G71)))</formula>
    </cfRule>
  </conditionalFormatting>
  <conditionalFormatting sqref="G75:O75">
    <cfRule type="containsText" dxfId="57" priority="69" operator="containsText" text="OK">
      <formula>NOT(ISERROR(SEARCH("OK",G75)))</formula>
    </cfRule>
    <cfRule type="containsText" dxfId="56" priority="70" operator="containsText" text="ERROR">
      <formula>NOT(ISERROR(SEARCH("ERROR",G75)))</formula>
    </cfRule>
  </conditionalFormatting>
  <conditionalFormatting sqref="G82:O82 L83:O83 L85:O86">
    <cfRule type="containsText" dxfId="55" priority="88" operator="containsText" text="ERROR">
      <formula>NOT(ISERROR(SEARCH("ERROR",G82)))</formula>
    </cfRule>
  </conditionalFormatting>
  <conditionalFormatting sqref="G88:O88 L89:O89 L91:O92">
    <cfRule type="containsText" dxfId="54" priority="48" operator="containsText" text="ERROR">
      <formula>NOT(ISERROR(SEARCH("ERROR",G88)))</formula>
    </cfRule>
  </conditionalFormatting>
  <conditionalFormatting sqref="G95:O95 L96:O96 L98:O99">
    <cfRule type="containsText" dxfId="53" priority="40" operator="containsText" text="ERROR">
      <formula>NOT(ISERROR(SEARCH("ERROR",G95)))</formula>
    </cfRule>
  </conditionalFormatting>
  <conditionalFormatting sqref="G11:P11">
    <cfRule type="containsText" dxfId="52" priority="148" operator="containsText" text="ERROR">
      <formula>NOT(ISERROR(SEARCH("ERROR",G11)))</formula>
    </cfRule>
    <cfRule type="containsText" dxfId="51" priority="147" operator="containsText" text="OK">
      <formula>NOT(ISERROR(SEARCH("OK",G11)))</formula>
    </cfRule>
  </conditionalFormatting>
  <conditionalFormatting sqref="G17:P17">
    <cfRule type="containsText" dxfId="50" priority="140" operator="containsText" text="ERROR">
      <formula>NOT(ISERROR(SEARCH("ERROR",G17)))</formula>
    </cfRule>
    <cfRule type="containsText" dxfId="49" priority="139" operator="containsText" text="OK">
      <formula>NOT(ISERROR(SEARCH("OK",G17)))</formula>
    </cfRule>
  </conditionalFormatting>
  <conditionalFormatting sqref="G23:P23">
    <cfRule type="containsText" dxfId="48" priority="29" operator="containsText" text="OK">
      <formula>NOT(ISERROR(SEARCH("OK",G23)))</formula>
    </cfRule>
    <cfRule type="containsText" dxfId="47" priority="30" operator="containsText" text="ERROR">
      <formula>NOT(ISERROR(SEARCH("ERROR",G23)))</formula>
    </cfRule>
  </conditionalFormatting>
  <conditionalFormatting sqref="G29:P29">
    <cfRule type="containsText" dxfId="46" priority="23" operator="containsText" text="OK">
      <formula>NOT(ISERROR(SEARCH("OK",G29)))</formula>
    </cfRule>
    <cfRule type="containsText" dxfId="45" priority="24" operator="containsText" text="ERROR">
      <formula>NOT(ISERROR(SEARCH("ERROR",G29)))</formula>
    </cfRule>
  </conditionalFormatting>
  <conditionalFormatting sqref="G35:P35">
    <cfRule type="containsText" dxfId="44" priority="113" operator="containsText" text="OK">
      <formula>NOT(ISERROR(SEARCH("OK",G35)))</formula>
    </cfRule>
    <cfRule type="containsText" dxfId="43" priority="114" operator="containsText" text="ERROR">
      <formula>NOT(ISERROR(SEARCH("ERROR",G35)))</formula>
    </cfRule>
  </conditionalFormatting>
  <conditionalFormatting sqref="G48:P48 G50:P50">
    <cfRule type="containsText" dxfId="42" priority="57" operator="containsText" text="OK">
      <formula>NOT(ISERROR(SEARCH("OK",G48)))</formula>
    </cfRule>
    <cfRule type="containsText" dxfId="41" priority="58" operator="containsText" text="ERROR">
      <formula>NOT(ISERROR(SEARCH("ERROR",G48)))</formula>
    </cfRule>
  </conditionalFormatting>
  <conditionalFormatting sqref="G54:P56">
    <cfRule type="containsText" dxfId="40" priority="53" operator="containsText" text="OK">
      <formula>NOT(ISERROR(SEARCH("OK",G54)))</formula>
    </cfRule>
    <cfRule type="containsText" dxfId="39" priority="54" operator="containsText" text="ERROR">
      <formula>NOT(ISERROR(SEARCH("ERROR",G54)))</formula>
    </cfRule>
  </conditionalFormatting>
  <conditionalFormatting sqref="G73:P73">
    <cfRule type="containsText" dxfId="38" priority="74" operator="containsText" text="ERROR">
      <formula>NOT(ISERROR(SEARCH("ERROR",G73)))</formula>
    </cfRule>
    <cfRule type="containsText" dxfId="37" priority="73" operator="containsText" text="OK">
      <formula>NOT(ISERROR(SEARCH("OK",G73)))</formula>
    </cfRule>
  </conditionalFormatting>
  <conditionalFormatting sqref="G84:P84">
    <cfRule type="containsText" dxfId="36" priority="83" operator="containsText" text="OK">
      <formula>NOT(ISERROR(SEARCH("OK",G84)))</formula>
    </cfRule>
    <cfRule type="containsText" dxfId="35" priority="84" operator="containsText" text="ERROR">
      <formula>NOT(ISERROR(SEARCH("ERROR",G84)))</formula>
    </cfRule>
  </conditionalFormatting>
  <conditionalFormatting sqref="G90:P90">
    <cfRule type="containsText" dxfId="34" priority="45" operator="containsText" text="OK">
      <formula>NOT(ISERROR(SEARCH("OK",G90)))</formula>
    </cfRule>
    <cfRule type="containsText" dxfId="33" priority="46" operator="containsText" text="ERROR">
      <formula>NOT(ISERROR(SEARCH("ERROR",G90)))</formula>
    </cfRule>
  </conditionalFormatting>
  <conditionalFormatting sqref="G97:P97">
    <cfRule type="containsText" dxfId="32" priority="38" operator="containsText" text="ERROR">
      <formula>NOT(ISERROR(SEARCH("ERROR",G97)))</formula>
    </cfRule>
    <cfRule type="containsText" dxfId="31" priority="37" operator="containsText" text="OK">
      <formula>NOT(ISERROR(SEARCH("OK",G97)))</formula>
    </cfRule>
  </conditionalFormatting>
  <conditionalFormatting sqref="H68:O69">
    <cfRule type="containsText" dxfId="30" priority="5" operator="containsText" text="OK">
      <formula>NOT(ISERROR(SEARCH("OK",H68)))</formula>
    </cfRule>
    <cfRule type="containsText" dxfId="29" priority="6" operator="containsText" text="ERROR">
      <formula>NOT(ISERROR(SEARCH("ERROR",H68)))</formula>
    </cfRule>
  </conditionalFormatting>
  <conditionalFormatting sqref="H49:P49">
    <cfRule type="containsText" dxfId="28" priority="49" operator="containsText" text="OK">
      <formula>NOT(ISERROR(SEARCH("OK",H49)))</formula>
    </cfRule>
    <cfRule type="containsText" dxfId="27" priority="50" operator="containsText" text="ERROR">
      <formula>NOT(ISERROR(SEARCH("ERROR",H49)))</formula>
    </cfRule>
  </conditionalFormatting>
  <conditionalFormatting sqref="H67:P67">
    <cfRule type="containsText" dxfId="26" priority="7" operator="containsText" text="OK">
      <formula>NOT(ISERROR(SEARCH("OK",H67)))</formula>
    </cfRule>
    <cfRule type="containsText" dxfId="25" priority="8" operator="containsText" text="ERROR">
      <formula>NOT(ISERROR(SEARCH("ERROR",H67)))</formula>
    </cfRule>
  </conditionalFormatting>
  <conditionalFormatting sqref="L2:O2 M6:P6 L7:P8 G9:O9 L10:O10 L12:O14 G15:O15 L16:O16 L18:O18 L19:M19 L20:P20 G21:O21 L22:P22 L26:O26 G27:O27 L28:O28 L38:P39 L41:P41 L43:P45">
    <cfRule type="containsText" dxfId="24" priority="168" operator="containsText" text="ERROR">
      <formula>NOT(ISERROR(SEARCH("ERROR",G2)))</formula>
    </cfRule>
  </conditionalFormatting>
  <conditionalFormatting sqref="L12:O14 L18:O18 L19:M19 L2:O2 M6:P6 L7:P8 G9:O9 L10:O10 G15:O15 L16:O16 L20:P20 G21:O21 L22:P22 L26:O26 G27:O27 L28:O28 L38:P39 L41:P41 L43:P45">
    <cfRule type="containsText" dxfId="23" priority="167" operator="containsText" text="OK">
      <formula>NOT(ISERROR(SEARCH("OK",G2)))</formula>
    </cfRule>
  </conditionalFormatting>
  <conditionalFormatting sqref="L31:O31">
    <cfRule type="containsText" dxfId="22" priority="25" operator="containsText" text="OK">
      <formula>NOT(ISERROR(SEARCH("OK",L31)))</formula>
    </cfRule>
    <cfRule type="containsText" dxfId="21" priority="26" operator="containsText" text="ERROR">
      <formula>NOT(ISERROR(SEARCH("ERROR",L31)))</formula>
    </cfRule>
  </conditionalFormatting>
  <conditionalFormatting sqref="L36:O37 G33:O33 L34:O34">
    <cfRule type="containsText" dxfId="20" priority="117" operator="containsText" text="OK">
      <formula>NOT(ISERROR(SEARCH("OK",G33)))</formula>
    </cfRule>
  </conditionalFormatting>
  <conditionalFormatting sqref="L47:O47">
    <cfRule type="containsText" dxfId="19" priority="161" operator="containsText" text="OK">
      <formula>NOT(ISERROR(SEARCH("OK",L47)))</formula>
    </cfRule>
    <cfRule type="containsText" dxfId="18" priority="162" operator="containsText" text="ERROR">
      <formula>NOT(ISERROR(SEARCH("ERROR",L47)))</formula>
    </cfRule>
  </conditionalFormatting>
  <conditionalFormatting sqref="L51:O51 L53:O53 M57:P58 L70:O70 M76:P76">
    <cfRule type="containsText" dxfId="17" priority="165" operator="containsText" text="OK">
      <formula>NOT(ISERROR(SEARCH("OK",L51)))</formula>
    </cfRule>
    <cfRule type="containsText" dxfId="16" priority="166" operator="containsText" text="ERROR">
      <formula>NOT(ISERROR(SEARCH("ERROR",L51)))</formula>
    </cfRule>
  </conditionalFormatting>
  <conditionalFormatting sqref="L66:O66">
    <cfRule type="containsText" dxfId="15" priority="151" operator="containsText" text="OK">
      <formula>NOT(ISERROR(SEARCH("OK",L66)))</formula>
    </cfRule>
    <cfRule type="containsText" dxfId="14" priority="152" operator="containsText" text="ERROR">
      <formula>NOT(ISERROR(SEARCH("ERROR",L66)))</formula>
    </cfRule>
  </conditionalFormatting>
  <conditionalFormatting sqref="L74:O74 G71:O71 L72:O72">
    <cfRule type="containsText" dxfId="13" priority="77" operator="containsText" text="OK">
      <formula>NOT(ISERROR(SEARCH("OK",G71)))</formula>
    </cfRule>
  </conditionalFormatting>
  <conditionalFormatting sqref="L85:O86 G82:O82 L83:O83">
    <cfRule type="containsText" dxfId="12" priority="87" operator="containsText" text="OK">
      <formula>NOT(ISERROR(SEARCH("OK",G82)))</formula>
    </cfRule>
  </conditionalFormatting>
  <conditionalFormatting sqref="L91:O92 G88:O88 L89:O89">
    <cfRule type="containsText" dxfId="11" priority="47" operator="containsText" text="OK">
      <formula>NOT(ISERROR(SEARCH("OK",G88)))</formula>
    </cfRule>
  </conditionalFormatting>
  <conditionalFormatting sqref="L98:O99 G95:O95 L96:O96">
    <cfRule type="containsText" dxfId="10" priority="39" operator="containsText" text="OK">
      <formula>NOT(ISERROR(SEARCH("OK",G95)))</formula>
    </cfRule>
  </conditionalFormatting>
  <conditionalFormatting sqref="L60:P60 L62:P64">
    <cfRule type="containsText" dxfId="9" priority="159" operator="containsText" text="OK">
      <formula>NOT(ISERROR(SEARCH("OK",L60)))</formula>
    </cfRule>
    <cfRule type="containsText" dxfId="8" priority="160" operator="containsText" text="ERROR">
      <formula>NOT(ISERROR(SEARCH("ERROR",L60)))</formula>
    </cfRule>
  </conditionalFormatting>
  <conditionalFormatting sqref="M100:P100">
    <cfRule type="containsText" dxfId="7" priority="31" operator="containsText" text="OK">
      <formula>NOT(ISERROR(SEARCH("OK",M100)))</formula>
    </cfRule>
    <cfRule type="containsText" dxfId="6" priority="32" operator="containsText" text="ERROR">
      <formula>NOT(ISERROR(SEARCH("ERROR",M100)))</formula>
    </cfRule>
  </conditionalFormatting>
  <printOptions horizontalCentered="1"/>
  <pageMargins left="0.118110236220472" right="0.118110236220472" top="0.118110236220472" bottom="0.118110236220472" header="0.118110236220472" footer="0.118110236220472"/>
  <pageSetup scale="76" fitToHeight="0" orientation="landscape" r:id="rId1"/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1" r:id="rId5" name="Drop Down 1">
              <controlPr defaultSize="0" autoLine="0" autoPict="0">
                <anchor moveWithCells="1" sizeWithCells="1">
                  <from>
                    <xdr:col>3</xdr:col>
                    <xdr:colOff>25400</xdr:colOff>
                    <xdr:row>6</xdr:row>
                    <xdr:rowOff>0</xdr:rowOff>
                  </from>
                  <to>
                    <xdr:col>4</xdr:col>
                    <xdr:colOff>190500</xdr:colOff>
                    <xdr:row>6</xdr:row>
                    <xdr:rowOff>177800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2" r:id="rId6" name="Drop Down 2">
              <controlPr defaultSize="0" autoLine="0" autoPict="0">
                <anchor moveWithCells="1" sizeWithCells="1">
                  <from>
                    <xdr:col>2</xdr:col>
                    <xdr:colOff>1130300</xdr:colOff>
                    <xdr:row>43</xdr:row>
                    <xdr:rowOff>0</xdr:rowOff>
                  </from>
                  <to>
                    <xdr:col>4</xdr:col>
                    <xdr:colOff>190500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3" r:id="rId7" name="Drop Down 3">
              <controlPr defaultSize="0" autoLine="0" autoPict="0">
                <anchor moveWithCells="1" sizeWithCells="1">
                  <from>
                    <xdr:col>3</xdr:col>
                    <xdr:colOff>12700</xdr:colOff>
                    <xdr:row>62</xdr:row>
                    <xdr:rowOff>0</xdr:rowOff>
                  </from>
                  <to>
                    <xdr:col>4</xdr:col>
                    <xdr:colOff>190500</xdr:colOff>
                    <xdr:row>63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5" r:id="rId8" name="Drop Down 5">
              <controlPr defaultSize="0" autoLine="0" autoPict="0">
                <anchor moveWithCells="1" sizeWithCells="1">
                  <from>
                    <xdr:col>3</xdr:col>
                    <xdr:colOff>12700</xdr:colOff>
                    <xdr:row>79</xdr:row>
                    <xdr:rowOff>0</xdr:rowOff>
                  </from>
                  <to>
                    <xdr:col>4</xdr:col>
                    <xdr:colOff>190500</xdr:colOff>
                    <xdr:row>80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9BA38-36C7-4645-8E2F-B76F42B96CB3}">
  <sheetPr>
    <pageSetUpPr autoPageBreaks="0"/>
  </sheetPr>
  <dimension ref="A1:U408"/>
  <sheetViews>
    <sheetView showGridLines="0" zoomScaleNormal="100" zoomScaleSheetLayoutView="90" workbookViewId="0"/>
  </sheetViews>
  <sheetFormatPr baseColWidth="10" defaultColWidth="9.1640625" defaultRowHeight="15" customHeight="1" outlineLevelRow="1"/>
  <cols>
    <col min="1" max="1" width="9.1640625" style="215"/>
    <col min="2" max="3" width="1.6640625" style="215" customWidth="1"/>
    <col min="4" max="4" width="15.6640625" style="215" customWidth="1"/>
    <col min="5" max="5" width="10.6640625" style="215" customWidth="1"/>
    <col min="6" max="6" width="15.6640625" style="215" customWidth="1"/>
    <col min="7" max="7" width="1.6640625" style="215" customWidth="1"/>
    <col min="8" max="9" width="10.33203125" style="215" customWidth="1"/>
    <col min="10" max="11" width="10.6640625" style="215" customWidth="1"/>
    <col min="12" max="19" width="11.1640625" style="215" bestFit="1" customWidth="1"/>
    <col min="20" max="20" width="11.6640625" style="215" customWidth="1"/>
    <col min="21" max="21" width="10.6640625" style="215" bestFit="1" customWidth="1"/>
    <col min="22" max="16384" width="9.1640625" style="215"/>
  </cols>
  <sheetData>
    <row r="1" spans="1:21" s="600" customFormat="1" ht="35" customHeight="1">
      <c r="B1" s="522" t="s">
        <v>413</v>
      </c>
      <c r="H1" s="601"/>
      <c r="I1" s="601"/>
      <c r="J1" s="601"/>
      <c r="K1" s="601"/>
      <c r="L1" s="601"/>
      <c r="M1" s="601"/>
      <c r="N1" s="601"/>
      <c r="O1" s="601"/>
      <c r="U1" s="602"/>
    </row>
    <row r="2" spans="1:21" ht="15" customHeight="1">
      <c r="A2" s="1"/>
      <c r="B2" s="1"/>
      <c r="C2" s="1"/>
      <c r="D2" s="2"/>
      <c r="E2" s="2"/>
      <c r="F2" s="2"/>
      <c r="G2" s="2"/>
      <c r="H2" s="3"/>
      <c r="I2" s="3"/>
      <c r="J2" s="4"/>
      <c r="K2" s="4"/>
      <c r="L2" s="4"/>
      <c r="M2" s="4"/>
      <c r="N2" s="4"/>
      <c r="O2" s="4"/>
      <c r="P2" s="4"/>
      <c r="Q2" s="4"/>
      <c r="R2" s="4"/>
      <c r="S2" s="4"/>
      <c r="T2" s="1"/>
      <c r="U2" s="30"/>
    </row>
    <row r="3" spans="1:21" s="5" customFormat="1" ht="15" customHeight="1">
      <c r="A3" s="12" t="s">
        <v>39</v>
      </c>
      <c r="B3" s="564" t="s">
        <v>11</v>
      </c>
      <c r="C3" s="565"/>
      <c r="D3" s="565"/>
      <c r="E3" s="565"/>
      <c r="F3" s="566"/>
      <c r="G3" s="566"/>
      <c r="H3" s="567"/>
      <c r="I3" s="567"/>
      <c r="J3" s="567"/>
      <c r="K3" s="567"/>
      <c r="L3" s="567"/>
      <c r="M3" s="567"/>
      <c r="N3" s="567"/>
      <c r="O3" s="567"/>
      <c r="P3" s="567"/>
      <c r="Q3" s="567"/>
      <c r="R3" s="567"/>
      <c r="S3" s="567"/>
      <c r="T3" s="567"/>
      <c r="U3" s="12"/>
    </row>
    <row r="4" spans="1:21" ht="15" hidden="1" customHeight="1" outlineLevel="1">
      <c r="A4" s="412"/>
      <c r="B4" s="412"/>
      <c r="C4" s="412"/>
      <c r="D4" s="412"/>
      <c r="E4" s="412"/>
      <c r="F4" s="99"/>
      <c r="G4" s="99"/>
      <c r="H4" s="417"/>
      <c r="I4" s="417"/>
      <c r="J4" s="417"/>
      <c r="K4" s="414"/>
      <c r="L4" s="414"/>
      <c r="M4" s="414"/>
      <c r="N4" s="414"/>
      <c r="O4" s="414"/>
      <c r="P4" s="414"/>
      <c r="Q4" s="414"/>
      <c r="R4" s="414"/>
      <c r="S4" s="414"/>
      <c r="T4" s="414"/>
    </row>
    <row r="5" spans="1:21" ht="15" hidden="1" customHeight="1" outlineLevel="1" thickBot="1">
      <c r="A5" s="412"/>
      <c r="B5" s="10" t="s">
        <v>8</v>
      </c>
      <c r="C5" s="10"/>
      <c r="D5" s="7"/>
      <c r="E5" s="7"/>
      <c r="F5" s="11"/>
      <c r="G5" s="11"/>
      <c r="H5" s="417"/>
      <c r="I5" s="417"/>
      <c r="J5" s="613">
        <f>K5-1</f>
        <v>2024</v>
      </c>
      <c r="K5" s="577">
        <f>'Transaction Assumptions'!J24</f>
        <v>2025</v>
      </c>
      <c r="L5" s="577">
        <f>K5+1</f>
        <v>2026</v>
      </c>
      <c r="M5" s="577">
        <f t="shared" ref="M5" si="0">L5+1</f>
        <v>2027</v>
      </c>
      <c r="N5" s="577">
        <f t="shared" ref="N5" si="1">M5+1</f>
        <v>2028</v>
      </c>
      <c r="O5" s="577">
        <f t="shared" ref="O5" si="2">N5+1</f>
        <v>2029</v>
      </c>
      <c r="P5" s="577">
        <f t="shared" ref="P5" si="3">O5+1</f>
        <v>2030</v>
      </c>
      <c r="Q5" s="577">
        <f t="shared" ref="Q5" si="4">P5+1</f>
        <v>2031</v>
      </c>
      <c r="R5" s="577">
        <f t="shared" ref="R5" si="5">Q5+1</f>
        <v>2032</v>
      </c>
      <c r="S5" s="577">
        <f t="shared" ref="S5" si="6">R5+1</f>
        <v>2033</v>
      </c>
      <c r="T5" s="577">
        <f t="shared" ref="T5" si="7">S5+1</f>
        <v>2034</v>
      </c>
    </row>
    <row r="6" spans="1:21" ht="15" hidden="1" customHeight="1" outlineLevel="1">
      <c r="A6" s="412"/>
      <c r="B6" s="10" t="str" cm="1">
        <f t="array" ref="B6">CONCATENATE("Model Running: ",INDEX('Forecasting Assumptions'!$B$11:$B$13,'Forecasting Assumptions'!$E$7)," Drivers")</f>
        <v>Model Running: Base Case Drivers</v>
      </c>
      <c r="C6" s="10"/>
      <c r="D6" s="7"/>
      <c r="E6" s="7"/>
      <c r="F6" s="11"/>
      <c r="G6" s="11"/>
      <c r="H6" s="417"/>
      <c r="I6" s="417"/>
      <c r="J6" s="11"/>
      <c r="K6" s="28"/>
      <c r="L6" s="28"/>
      <c r="M6" s="28"/>
      <c r="N6" s="28"/>
      <c r="O6" s="28"/>
      <c r="P6" s="28"/>
      <c r="Q6" s="28"/>
      <c r="R6" s="28"/>
      <c r="S6" s="28"/>
      <c r="T6" s="28"/>
    </row>
    <row r="7" spans="1:21" ht="15" hidden="1" customHeight="1" outlineLevel="1">
      <c r="A7" s="412"/>
      <c r="B7" s="10"/>
      <c r="C7" s="10"/>
      <c r="D7" s="7"/>
      <c r="E7" s="7"/>
      <c r="F7" s="11"/>
      <c r="G7" s="11"/>
      <c r="H7" s="417"/>
      <c r="I7" s="417"/>
      <c r="J7" s="11"/>
      <c r="K7" s="473"/>
      <c r="L7" s="11"/>
      <c r="M7" s="11"/>
      <c r="N7" s="11"/>
      <c r="O7" s="11"/>
      <c r="P7" s="11"/>
      <c r="Q7" s="11"/>
      <c r="R7" s="11"/>
      <c r="S7" s="11"/>
      <c r="T7" s="11"/>
    </row>
    <row r="8" spans="1:21" s="413" customFormat="1" ht="15" hidden="1" customHeight="1" outlineLevel="1">
      <c r="A8" s="412"/>
      <c r="B8" s="412" t="s">
        <v>354</v>
      </c>
      <c r="C8" s="412"/>
      <c r="D8" s="412"/>
      <c r="E8" s="412"/>
      <c r="F8" s="417"/>
      <c r="G8" s="417"/>
      <c r="H8" s="414"/>
      <c r="I8" s="414"/>
      <c r="J8" s="414">
        <f>IS!D6</f>
        <v>958338</v>
      </c>
      <c r="K8" s="414">
        <f>J8*(1+'Forecasting Assumptions'!G9)</f>
        <v>1245839.4000000001</v>
      </c>
      <c r="L8" s="414">
        <f>K8*(1+'Forecasting Assumptions'!H9)</f>
        <v>1619591.2200000002</v>
      </c>
      <c r="M8" s="414">
        <f>L8*(1+'Forecasting Assumptions'!I9)</f>
        <v>2105468.5860000001</v>
      </c>
      <c r="N8" s="414">
        <f>M8*(1+'Forecasting Assumptions'!J9)</f>
        <v>2716054.4759400003</v>
      </c>
      <c r="O8" s="414">
        <f>N8*(1+'Forecasting Assumptions'!K9)</f>
        <v>3503710.2739626006</v>
      </c>
      <c r="P8" s="414">
        <f>O8*(1+'Forecasting Assumptions'!L9)</f>
        <v>4460223.1787543911</v>
      </c>
      <c r="Q8" s="414">
        <f>P8*(1+'Forecasting Assumptions'!M9)</f>
        <v>5468233.6171528837</v>
      </c>
      <c r="R8" s="414">
        <f>Q8*(1+'Forecasting Assumptions'!N9)</f>
        <v>6441579.2010060968</v>
      </c>
      <c r="S8" s="414">
        <f>R8*(1+'Forecasting Assumptions'!O9)</f>
        <v>7285426.0763378954</v>
      </c>
      <c r="T8" s="414">
        <f>S8*(1+'Forecasting Assumptions'!P9)</f>
        <v>7897401.8667502794</v>
      </c>
    </row>
    <row r="9" spans="1:21" ht="15" hidden="1" customHeight="1" outlineLevel="1">
      <c r="A9" s="412"/>
      <c r="B9" s="21" t="s">
        <v>32</v>
      </c>
      <c r="C9" s="21"/>
      <c r="D9" s="21"/>
      <c r="E9" s="21"/>
      <c r="F9" s="99"/>
      <c r="G9" s="99"/>
      <c r="H9" s="91"/>
      <c r="I9" s="91"/>
      <c r="J9" s="625">
        <f>IS!D10</f>
        <v>186448</v>
      </c>
      <c r="K9" s="626">
        <f>K8-K10</f>
        <v>236709.48599999992</v>
      </c>
      <c r="L9" s="626">
        <f t="shared" ref="L9:T9" si="8">L8-L10</f>
        <v>307722.33180000004</v>
      </c>
      <c r="M9" s="626">
        <f t="shared" si="8"/>
        <v>400039.03133999999</v>
      </c>
      <c r="N9" s="626">
        <f t="shared" si="8"/>
        <v>516050.35042859986</v>
      </c>
      <c r="O9" s="626">
        <f t="shared" si="8"/>
        <v>665704.95205289405</v>
      </c>
      <c r="P9" s="626">
        <f t="shared" si="8"/>
        <v>847442.40396333393</v>
      </c>
      <c r="Q9" s="626">
        <f t="shared" si="8"/>
        <v>1038964.3872590475</v>
      </c>
      <c r="R9" s="626">
        <f t="shared" si="8"/>
        <v>1223900.0481911581</v>
      </c>
      <c r="S9" s="626">
        <f t="shared" si="8"/>
        <v>1384230.9545041993</v>
      </c>
      <c r="T9" s="626">
        <f t="shared" si="8"/>
        <v>1500506.3546825526</v>
      </c>
    </row>
    <row r="10" spans="1:21" s="413" customFormat="1" ht="15" hidden="1" customHeight="1" outlineLevel="1">
      <c r="A10" s="412"/>
      <c r="B10" s="412" t="s">
        <v>353</v>
      </c>
      <c r="C10" s="412"/>
      <c r="D10" s="412"/>
      <c r="E10" s="412"/>
      <c r="F10" s="417"/>
      <c r="G10" s="417"/>
      <c r="H10" s="414"/>
      <c r="I10" s="414"/>
      <c r="J10" s="414">
        <f>J8-J9</f>
        <v>771890</v>
      </c>
      <c r="K10" s="414">
        <f>K8*'Forecasting Assumptions'!G15</f>
        <v>1009129.9140000002</v>
      </c>
      <c r="L10" s="414">
        <f>L8*'Forecasting Assumptions'!H15</f>
        <v>1311868.8882000002</v>
      </c>
      <c r="M10" s="414">
        <f>M8*'Forecasting Assumptions'!I15</f>
        <v>1705429.5546600001</v>
      </c>
      <c r="N10" s="414">
        <f>N8*'Forecasting Assumptions'!J15</f>
        <v>2200004.1255114004</v>
      </c>
      <c r="O10" s="414">
        <f>O8*'Forecasting Assumptions'!K15</f>
        <v>2838005.3219097066</v>
      </c>
      <c r="P10" s="414">
        <f>P8*'Forecasting Assumptions'!L15</f>
        <v>3612780.7747910572</v>
      </c>
      <c r="Q10" s="414">
        <f>Q8*'Forecasting Assumptions'!M15</f>
        <v>4429269.2298938362</v>
      </c>
      <c r="R10" s="414">
        <f>R8*'Forecasting Assumptions'!N15</f>
        <v>5217679.1528149387</v>
      </c>
      <c r="S10" s="414">
        <f>S8*'Forecasting Assumptions'!O15</f>
        <v>5901195.121833696</v>
      </c>
      <c r="T10" s="414">
        <f>T8*'Forecasting Assumptions'!P15</f>
        <v>6396895.5120677268</v>
      </c>
    </row>
    <row r="11" spans="1:21" s="413" customFormat="1" ht="15" hidden="1" customHeight="1" outlineLevel="1">
      <c r="A11" s="412"/>
      <c r="B11" s="412"/>
      <c r="C11" s="412"/>
      <c r="D11" s="412"/>
      <c r="E11" s="412"/>
      <c r="F11" s="417"/>
      <c r="G11" s="417"/>
      <c r="H11" s="417"/>
      <c r="I11" s="417"/>
      <c r="J11" s="414"/>
      <c r="K11" s="414"/>
      <c r="L11" s="414"/>
      <c r="M11" s="414"/>
      <c r="N11" s="414"/>
      <c r="O11" s="414"/>
      <c r="P11" s="414"/>
      <c r="Q11" s="414"/>
      <c r="R11" s="414"/>
      <c r="S11" s="414"/>
      <c r="T11" s="414"/>
    </row>
    <row r="12" spans="1:21" ht="15" hidden="1" customHeight="1" outlineLevel="1">
      <c r="A12" s="412"/>
      <c r="B12" s="21" t="s">
        <v>30</v>
      </c>
      <c r="C12" s="21"/>
      <c r="D12" s="21"/>
      <c r="E12" s="21"/>
      <c r="F12" s="99"/>
      <c r="G12" s="99"/>
      <c r="H12" s="417"/>
      <c r="I12" s="417"/>
      <c r="J12" s="416">
        <f>IS!D14+IS!D15</f>
        <v>658101</v>
      </c>
      <c r="K12" s="91">
        <f>K8*'Forecasting Assumptions'!G21</f>
        <v>759962.0340000001</v>
      </c>
      <c r="L12" s="91">
        <f>L8*'Forecasting Assumptions'!H21</f>
        <v>923166.99540000001</v>
      </c>
      <c r="M12" s="91">
        <f>M8*'Forecasting Assumptions'!I21</f>
        <v>1136953.0364400002</v>
      </c>
      <c r="N12" s="91">
        <f>N8*'Forecasting Assumptions'!J21</f>
        <v>1385187.7827294001</v>
      </c>
      <c r="O12" s="91">
        <f>O8*'Forecasting Assumptions'!K21</f>
        <v>1681780.9315020482</v>
      </c>
      <c r="P12" s="91">
        <f>P8*'Forecasting Assumptions'!L21</f>
        <v>2007100.4304394762</v>
      </c>
      <c r="Q12" s="91">
        <f>Q8*'Forecasting Assumptions'!M21</f>
        <v>2351340.4553757398</v>
      </c>
      <c r="R12" s="91">
        <f>R8*'Forecasting Assumptions'!N21</f>
        <v>2769879.0564326216</v>
      </c>
      <c r="S12" s="91">
        <f>S8*'Forecasting Assumptions'!O21</f>
        <v>3059878.9520619158</v>
      </c>
      <c r="T12" s="91">
        <f>T8*'Forecasting Assumptions'!P21</f>
        <v>3316908.7840351174</v>
      </c>
    </row>
    <row r="13" spans="1:21" ht="15" hidden="1" customHeight="1" outlineLevel="1">
      <c r="A13" s="412"/>
      <c r="B13" s="21" t="s">
        <v>333</v>
      </c>
      <c r="C13" s="21"/>
      <c r="D13" s="21"/>
      <c r="E13" s="21"/>
      <c r="F13" s="99"/>
      <c r="G13" s="99"/>
      <c r="H13" s="417"/>
      <c r="I13" s="417"/>
      <c r="J13" s="625">
        <f>IS!D13</f>
        <v>234071</v>
      </c>
      <c r="K13" s="626">
        <f>K8*'Forecasting Assumptions'!G27</f>
        <v>242938.68300000005</v>
      </c>
      <c r="L13" s="626">
        <f>L8*'Forecasting Assumptions'!H27</f>
        <v>291526.41960000002</v>
      </c>
      <c r="M13" s="626">
        <f>M8*'Forecasting Assumptions'!I27</f>
        <v>378984.34548000002</v>
      </c>
      <c r="N13" s="626">
        <f>N8*'Forecasting Assumptions'!J27</f>
        <v>461729.26090980007</v>
      </c>
      <c r="O13" s="626">
        <f>O8*'Forecasting Assumptions'!K27</f>
        <v>595630.74657364213</v>
      </c>
      <c r="P13" s="626">
        <f>P8*'Forecasting Assumptions'!L27</f>
        <v>713635.70860070258</v>
      </c>
      <c r="Q13" s="626">
        <f>Q8*'Forecasting Assumptions'!M27</f>
        <v>874917.37874446146</v>
      </c>
      <c r="R13" s="626">
        <f>R8*'Forecasting Assumptions'!N27</f>
        <v>1030652.6721609755</v>
      </c>
      <c r="S13" s="626">
        <f>S8*'Forecasting Assumptions'!O27</f>
        <v>1165668.1722140634</v>
      </c>
      <c r="T13" s="626">
        <f>T8*'Forecasting Assumptions'!P27</f>
        <v>1263584.2986800447</v>
      </c>
    </row>
    <row r="14" spans="1:21" s="413" customFormat="1" ht="15" hidden="1" customHeight="1" outlineLevel="1">
      <c r="A14" s="412"/>
      <c r="B14" s="412" t="s">
        <v>14</v>
      </c>
      <c r="C14" s="412"/>
      <c r="D14" s="412"/>
      <c r="E14" s="412"/>
      <c r="F14" s="417"/>
      <c r="G14" s="417"/>
      <c r="H14" s="417"/>
      <c r="I14" s="417"/>
      <c r="J14" s="414">
        <f>J10-J12-J13</f>
        <v>-120282</v>
      </c>
      <c r="K14" s="414">
        <f>K10-K12-K13</f>
        <v>6229.1970000000729</v>
      </c>
      <c r="L14" s="414">
        <f>L10-L12-L13</f>
        <v>97175.473200000124</v>
      </c>
      <c r="M14" s="414">
        <f>M10-M12-M13</f>
        <v>189492.17273999995</v>
      </c>
      <c r="N14" s="414">
        <f t="shared" ref="N14:T14" si="9">N10-N12-N13</f>
        <v>353087.08187220024</v>
      </c>
      <c r="O14" s="414">
        <f t="shared" si="9"/>
        <v>560593.64383401629</v>
      </c>
      <c r="P14" s="414">
        <f t="shared" si="9"/>
        <v>892044.63575087849</v>
      </c>
      <c r="Q14" s="414">
        <f t="shared" si="9"/>
        <v>1203011.3957736348</v>
      </c>
      <c r="R14" s="414">
        <f t="shared" si="9"/>
        <v>1417147.4242213415</v>
      </c>
      <c r="S14" s="414">
        <f t="shared" si="9"/>
        <v>1675647.9975577169</v>
      </c>
      <c r="T14" s="414">
        <f t="shared" si="9"/>
        <v>1816402.4293525647</v>
      </c>
    </row>
    <row r="15" spans="1:21" s="413" customFormat="1" ht="15" hidden="1" customHeight="1" outlineLevel="1">
      <c r="A15" s="412"/>
      <c r="B15" s="412"/>
      <c r="C15" s="412"/>
      <c r="D15" s="412"/>
      <c r="E15" s="412"/>
      <c r="F15" s="417"/>
      <c r="G15" s="417"/>
      <c r="H15" s="417"/>
      <c r="I15" s="417"/>
      <c r="J15" s="414"/>
      <c r="K15" s="414"/>
      <c r="L15" s="414"/>
      <c r="M15" s="414"/>
      <c r="N15" s="414"/>
      <c r="O15" s="414"/>
      <c r="P15" s="414"/>
      <c r="Q15" s="414"/>
      <c r="R15" s="414"/>
      <c r="S15" s="414"/>
      <c r="T15" s="414"/>
    </row>
    <row r="16" spans="1:21" ht="15" hidden="1" customHeight="1" outlineLevel="1">
      <c r="A16" s="412"/>
      <c r="B16" s="624" t="s">
        <v>405</v>
      </c>
      <c r="C16" s="624"/>
      <c r="D16" s="624"/>
      <c r="E16" s="624"/>
      <c r="F16" s="463"/>
      <c r="G16" s="463"/>
      <c r="H16" s="417"/>
      <c r="I16" s="417"/>
      <c r="J16" s="625">
        <f>J118</f>
        <v>27012</v>
      </c>
      <c r="K16" s="625">
        <f t="shared" ref="K16:T16" si="10">K118</f>
        <v>24916.788000000004</v>
      </c>
      <c r="L16" s="625">
        <f t="shared" si="10"/>
        <v>32391.824400000005</v>
      </c>
      <c r="M16" s="625">
        <f t="shared" si="10"/>
        <v>42109.371720000003</v>
      </c>
      <c r="N16" s="625">
        <f t="shared" si="10"/>
        <v>54321.089518800007</v>
      </c>
      <c r="O16" s="625">
        <f t="shared" si="10"/>
        <v>70074.205479252021</v>
      </c>
      <c r="P16" s="625">
        <f t="shared" si="10"/>
        <v>89204.463575087822</v>
      </c>
      <c r="Q16" s="625">
        <f t="shared" si="10"/>
        <v>109364.67234305768</v>
      </c>
      <c r="R16" s="625">
        <f t="shared" si="10"/>
        <v>128831.58402012194</v>
      </c>
      <c r="S16" s="625">
        <f t="shared" si="10"/>
        <v>145708.52152675792</v>
      </c>
      <c r="T16" s="625">
        <f t="shared" si="10"/>
        <v>157948.03733500559</v>
      </c>
    </row>
    <row r="17" spans="1:21" s="413" customFormat="1" ht="15" hidden="1" customHeight="1" outlineLevel="1">
      <c r="A17" s="412"/>
      <c r="B17" s="412" t="s">
        <v>406</v>
      </c>
      <c r="C17" s="412"/>
      <c r="D17" s="412"/>
      <c r="E17" s="412"/>
      <c r="F17" s="417"/>
      <c r="G17" s="417"/>
      <c r="H17" s="417"/>
      <c r="I17" s="417"/>
      <c r="J17" s="414">
        <f>J14+J16</f>
        <v>-93270</v>
      </c>
      <c r="K17" s="414">
        <f t="shared" ref="K17:S17" si="11">K14+K16</f>
        <v>31145.985000000077</v>
      </c>
      <c r="L17" s="414">
        <f t="shared" si="11"/>
        <v>129567.29760000014</v>
      </c>
      <c r="M17" s="414">
        <f t="shared" si="11"/>
        <v>231601.54445999995</v>
      </c>
      <c r="N17" s="414">
        <f t="shared" si="11"/>
        <v>407408.17139100027</v>
      </c>
      <c r="O17" s="414">
        <f t="shared" si="11"/>
        <v>630667.84931326832</v>
      </c>
      <c r="P17" s="414">
        <f t="shared" si="11"/>
        <v>981249.09932596632</v>
      </c>
      <c r="Q17" s="414">
        <f t="shared" si="11"/>
        <v>1312376.0681166924</v>
      </c>
      <c r="R17" s="414">
        <f t="shared" si="11"/>
        <v>1545979.0082414635</v>
      </c>
      <c r="S17" s="414">
        <f t="shared" si="11"/>
        <v>1821356.5190844748</v>
      </c>
      <c r="T17" s="414">
        <f>T14+T16</f>
        <v>1974350.4666875703</v>
      </c>
      <c r="U17" s="472"/>
    </row>
    <row r="18" spans="1:21" ht="15" hidden="1" customHeight="1" outlineLevel="1">
      <c r="J18" s="618"/>
      <c r="M18" s="298"/>
    </row>
    <row r="19" spans="1:21" ht="15" hidden="1" customHeight="1" outlineLevel="1">
      <c r="A19" s="412"/>
      <c r="B19" s="21" t="s">
        <v>392</v>
      </c>
      <c r="C19" s="21"/>
      <c r="D19" s="21"/>
      <c r="E19" s="21"/>
      <c r="F19" s="99"/>
      <c r="G19" s="99"/>
      <c r="H19" s="417"/>
      <c r="I19" s="417"/>
      <c r="J19" s="416">
        <f>-(IS!D19+IS!D18)</f>
        <v>-24140</v>
      </c>
      <c r="K19" s="91">
        <f>K303</f>
        <v>70934.689915181487</v>
      </c>
      <c r="L19" s="91">
        <f>L303</f>
        <v>69018.630057134971</v>
      </c>
      <c r="M19" s="91">
        <f t="shared" ref="M19:T19" si="12">M303</f>
        <v>70443.149940156989</v>
      </c>
      <c r="N19" s="91">
        <f t="shared" si="12"/>
        <v>69594.435627845189</v>
      </c>
      <c r="O19" s="91">
        <f t="shared" si="12"/>
        <v>63701.353853456603</v>
      </c>
      <c r="P19" s="91">
        <f t="shared" si="12"/>
        <v>158222.43854027713</v>
      </c>
      <c r="Q19" s="91">
        <f t="shared" si="12"/>
        <v>147147.81016417904</v>
      </c>
      <c r="R19" s="91">
        <f t="shared" si="12"/>
        <v>128095.34693588022</v>
      </c>
      <c r="S19" s="91">
        <f t="shared" si="12"/>
        <v>99431.327232192416</v>
      </c>
      <c r="T19" s="91">
        <f t="shared" si="12"/>
        <v>65382.648110059381</v>
      </c>
    </row>
    <row r="20" spans="1:21" ht="15" hidden="1" customHeight="1" outlineLevel="1">
      <c r="A20" s="412"/>
      <c r="B20" s="21" t="s">
        <v>168</v>
      </c>
      <c r="C20" s="21"/>
      <c r="D20" s="21"/>
      <c r="E20" s="21"/>
      <c r="F20" s="99"/>
      <c r="G20" s="99"/>
      <c r="H20" s="417"/>
      <c r="I20" s="417"/>
      <c r="J20" s="454">
        <v>0</v>
      </c>
      <c r="K20" s="91">
        <f>K304</f>
        <v>111546.47947820848</v>
      </c>
      <c r="L20" s="91">
        <f>L304</f>
        <v>119912.46543907412</v>
      </c>
      <c r="M20" s="91">
        <f t="shared" ref="M20:T20" si="13">M304</f>
        <v>128905.90034700469</v>
      </c>
      <c r="N20" s="91">
        <f t="shared" si="13"/>
        <v>138573.84287303005</v>
      </c>
      <c r="O20" s="91">
        <f t="shared" si="13"/>
        <v>148966.8810885073</v>
      </c>
      <c r="P20" s="91">
        <f t="shared" si="13"/>
        <v>53379.799056715114</v>
      </c>
      <c r="Q20" s="91">
        <f t="shared" si="13"/>
        <v>54714.294033132996</v>
      </c>
      <c r="R20" s="91">
        <f t="shared" si="13"/>
        <v>56082.151383961318</v>
      </c>
      <c r="S20" s="91">
        <f t="shared" si="13"/>
        <v>57484.205168560358</v>
      </c>
      <c r="T20" s="91">
        <f t="shared" si="13"/>
        <v>58921.310297774362</v>
      </c>
    </row>
    <row r="21" spans="1:21" ht="15" hidden="1" customHeight="1" outlineLevel="1">
      <c r="A21" s="412"/>
      <c r="B21" s="21" t="s">
        <v>164</v>
      </c>
      <c r="C21" s="21"/>
      <c r="D21" s="21"/>
      <c r="E21" s="21"/>
      <c r="F21" s="99"/>
      <c r="G21" s="99"/>
      <c r="H21" s="417"/>
      <c r="I21" s="417"/>
      <c r="J21" s="625">
        <f>SUM(J19:J20)</f>
        <v>-24140</v>
      </c>
      <c r="K21" s="626">
        <f>SUM(K19:K20)</f>
        <v>182481.16939338995</v>
      </c>
      <c r="L21" s="626">
        <f>SUM(L19:L20)</f>
        <v>188931.09549620911</v>
      </c>
      <c r="M21" s="626">
        <f t="shared" ref="M21:S21" si="14">SUM(M19:M20)</f>
        <v>199349.05028716166</v>
      </c>
      <c r="N21" s="626">
        <f t="shared" si="14"/>
        <v>208168.27850087523</v>
      </c>
      <c r="O21" s="626">
        <f t="shared" si="14"/>
        <v>212668.23494196392</v>
      </c>
      <c r="P21" s="626">
        <f t="shared" si="14"/>
        <v>211602.23759699223</v>
      </c>
      <c r="Q21" s="626">
        <f t="shared" si="14"/>
        <v>201862.10419731203</v>
      </c>
      <c r="R21" s="626">
        <f t="shared" si="14"/>
        <v>184177.49831984154</v>
      </c>
      <c r="S21" s="626">
        <f t="shared" si="14"/>
        <v>156915.53240075277</v>
      </c>
      <c r="T21" s="626">
        <f>SUM(T19:T20)</f>
        <v>124303.95840783374</v>
      </c>
    </row>
    <row r="22" spans="1:21" s="413" customFormat="1" ht="15" hidden="1" customHeight="1" outlineLevel="1">
      <c r="A22" s="412"/>
      <c r="B22" s="15" t="s">
        <v>9</v>
      </c>
      <c r="C22" s="412"/>
      <c r="D22" s="412"/>
      <c r="E22" s="412"/>
      <c r="F22" s="417"/>
      <c r="G22" s="417"/>
      <c r="H22" s="417"/>
      <c r="I22" s="417"/>
      <c r="J22" s="414">
        <f>J14-J19</f>
        <v>-96142</v>
      </c>
      <c r="K22" s="414">
        <f>K14-K21</f>
        <v>-176251.97239338988</v>
      </c>
      <c r="L22" s="414">
        <f>L14-L21</f>
        <v>-91755.622296208981</v>
      </c>
      <c r="M22" s="414">
        <f t="shared" ref="M22:T22" si="15">M14-M21</f>
        <v>-9856.8775471617118</v>
      </c>
      <c r="N22" s="414">
        <f t="shared" si="15"/>
        <v>144918.80337132502</v>
      </c>
      <c r="O22" s="414">
        <f t="shared" si="15"/>
        <v>347925.40889205236</v>
      </c>
      <c r="P22" s="414">
        <f t="shared" si="15"/>
        <v>680442.3981538862</v>
      </c>
      <c r="Q22" s="414">
        <f t="shared" si="15"/>
        <v>1001149.2915763228</v>
      </c>
      <c r="R22" s="414">
        <f t="shared" si="15"/>
        <v>1232969.9259015</v>
      </c>
      <c r="S22" s="414">
        <f t="shared" si="15"/>
        <v>1518732.465156964</v>
      </c>
      <c r="T22" s="414">
        <f t="shared" si="15"/>
        <v>1692098.470944731</v>
      </c>
    </row>
    <row r="23" spans="1:21" s="413" customFormat="1" ht="15" hidden="1" customHeight="1" outlineLevel="1">
      <c r="A23" s="412"/>
      <c r="B23" s="15"/>
      <c r="C23" s="412"/>
      <c r="D23" s="412"/>
      <c r="E23" s="412"/>
      <c r="F23" s="417"/>
      <c r="G23" s="417"/>
      <c r="H23" s="417"/>
      <c r="I23" s="417"/>
      <c r="J23" s="414"/>
      <c r="K23" s="414"/>
      <c r="L23" s="414"/>
      <c r="M23" s="414"/>
      <c r="N23" s="414"/>
      <c r="O23" s="414"/>
      <c r="P23" s="414"/>
      <c r="Q23" s="414"/>
      <c r="R23" s="414"/>
      <c r="S23" s="414"/>
      <c r="T23" s="414"/>
    </row>
    <row r="24" spans="1:21" s="413" customFormat="1" ht="15" hidden="1" customHeight="1" outlineLevel="1">
      <c r="A24" s="412"/>
      <c r="B24" s="21" t="s">
        <v>18</v>
      </c>
      <c r="C24" s="412"/>
      <c r="D24" s="412"/>
      <c r="E24" s="412"/>
      <c r="F24" s="417"/>
      <c r="G24" s="417"/>
      <c r="H24" s="417"/>
      <c r="I24" s="417"/>
      <c r="J24" s="416">
        <f>IS!D21</f>
        <v>8489</v>
      </c>
      <c r="K24" s="416">
        <f>K166</f>
        <v>0</v>
      </c>
      <c r="L24" s="416">
        <f t="shared" ref="L24:T24" si="16">L166</f>
        <v>0</v>
      </c>
      <c r="M24" s="416">
        <f t="shared" si="16"/>
        <v>0</v>
      </c>
      <c r="N24" s="416">
        <f t="shared" si="16"/>
        <v>0</v>
      </c>
      <c r="O24" s="416">
        <f t="shared" si="16"/>
        <v>0</v>
      </c>
      <c r="P24" s="416">
        <f t="shared" si="16"/>
        <v>126705.53454512573</v>
      </c>
      <c r="Q24" s="416">
        <f t="shared" si="16"/>
        <v>250287.32289408069</v>
      </c>
      <c r="R24" s="416">
        <f t="shared" si="16"/>
        <v>308242.48147537501</v>
      </c>
      <c r="S24" s="416">
        <f t="shared" si="16"/>
        <v>379683.11628924101</v>
      </c>
      <c r="T24" s="416">
        <f t="shared" si="16"/>
        <v>423024.61773618276</v>
      </c>
    </row>
    <row r="25" spans="1:21" s="413" customFormat="1" ht="15" hidden="1" customHeight="1" outlineLevel="1">
      <c r="A25" s="412"/>
      <c r="B25" s="21" t="s">
        <v>19</v>
      </c>
      <c r="C25" s="412"/>
      <c r="D25" s="412"/>
      <c r="E25" s="412"/>
      <c r="F25" s="417"/>
      <c r="G25" s="417"/>
      <c r="H25" s="417"/>
      <c r="I25" s="417"/>
      <c r="J25" s="415">
        <v>0</v>
      </c>
      <c r="K25" s="416">
        <f>K167</f>
        <v>0</v>
      </c>
      <c r="L25" s="416">
        <f t="shared" ref="L25:T25" si="17">L167</f>
        <v>0</v>
      </c>
      <c r="M25" s="416">
        <f t="shared" si="17"/>
        <v>0</v>
      </c>
      <c r="N25" s="416">
        <f t="shared" si="17"/>
        <v>36229.700842831255</v>
      </c>
      <c r="O25" s="416">
        <f t="shared" si="17"/>
        <v>86981.352223013091</v>
      </c>
      <c r="P25" s="416">
        <f t="shared" si="17"/>
        <v>43405.064993345819</v>
      </c>
      <c r="Q25" s="416">
        <f t="shared" si="17"/>
        <v>0</v>
      </c>
      <c r="R25" s="416">
        <f t="shared" si="17"/>
        <v>0</v>
      </c>
      <c r="S25" s="416">
        <f t="shared" si="17"/>
        <v>0</v>
      </c>
      <c r="T25" s="416">
        <f t="shared" si="17"/>
        <v>0</v>
      </c>
    </row>
    <row r="26" spans="1:21" ht="15" hidden="1" customHeight="1" outlineLevel="1">
      <c r="A26" s="412"/>
      <c r="B26" s="21" t="s">
        <v>356</v>
      </c>
      <c r="C26" s="21"/>
      <c r="D26" s="21"/>
      <c r="E26" s="21"/>
      <c r="F26" s="99"/>
      <c r="G26" s="99"/>
      <c r="H26" s="417"/>
      <c r="I26" s="417"/>
      <c r="J26" s="625">
        <f>SUM(J24:J25)</f>
        <v>8489</v>
      </c>
      <c r="K26" s="626">
        <f>SUM(K24:K25)</f>
        <v>0</v>
      </c>
      <c r="L26" s="626">
        <f t="shared" ref="L26:T26" si="18">SUM(L24:L25)</f>
        <v>0</v>
      </c>
      <c r="M26" s="626">
        <f t="shared" si="18"/>
        <v>0</v>
      </c>
      <c r="N26" s="626">
        <f t="shared" si="18"/>
        <v>36229.700842831255</v>
      </c>
      <c r="O26" s="626">
        <f t="shared" si="18"/>
        <v>86981.352223013091</v>
      </c>
      <c r="P26" s="626">
        <f t="shared" si="18"/>
        <v>170110.59953847155</v>
      </c>
      <c r="Q26" s="626">
        <f t="shared" si="18"/>
        <v>250287.32289408069</v>
      </c>
      <c r="R26" s="626">
        <f t="shared" si="18"/>
        <v>308242.48147537501</v>
      </c>
      <c r="S26" s="626">
        <f t="shared" si="18"/>
        <v>379683.11628924101</v>
      </c>
      <c r="T26" s="626">
        <f t="shared" si="18"/>
        <v>423024.61773618276</v>
      </c>
    </row>
    <row r="27" spans="1:21" s="413" customFormat="1" ht="15" hidden="1" customHeight="1" outlineLevel="1">
      <c r="A27" s="412"/>
      <c r="B27" s="412" t="s">
        <v>16</v>
      </c>
      <c r="C27" s="412"/>
      <c r="D27" s="412"/>
      <c r="E27" s="412"/>
      <c r="F27" s="417"/>
      <c r="G27" s="417"/>
      <c r="H27" s="417"/>
      <c r="I27" s="417"/>
      <c r="J27" s="414">
        <f>J22-J26</f>
        <v>-104631</v>
      </c>
      <c r="K27" s="414">
        <f>K22-K26</f>
        <v>-176251.97239338988</v>
      </c>
      <c r="L27" s="414">
        <f t="shared" ref="L27:T27" si="19">L22-L26</f>
        <v>-91755.622296208981</v>
      </c>
      <c r="M27" s="414">
        <f t="shared" si="19"/>
        <v>-9856.8775471617118</v>
      </c>
      <c r="N27" s="414">
        <f t="shared" si="19"/>
        <v>108689.10252849376</v>
      </c>
      <c r="O27" s="414">
        <f t="shared" si="19"/>
        <v>260944.05666903927</v>
      </c>
      <c r="P27" s="414">
        <f>P22-P26</f>
        <v>510331.79861541465</v>
      </c>
      <c r="Q27" s="414">
        <f t="shared" si="19"/>
        <v>750861.96868224209</v>
      </c>
      <c r="R27" s="414">
        <f t="shared" si="19"/>
        <v>924727.44442612503</v>
      </c>
      <c r="S27" s="414">
        <f t="shared" si="19"/>
        <v>1139049.348867723</v>
      </c>
      <c r="T27" s="414">
        <f t="shared" si="19"/>
        <v>1269073.8532085484</v>
      </c>
    </row>
    <row r="28" spans="1:21" ht="15" hidden="1" customHeight="1" outlineLevel="1">
      <c r="A28" s="412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</row>
    <row r="29" spans="1:21" ht="15" customHeight="1" collapsed="1">
      <c r="A29" s="412"/>
      <c r="B29" s="418"/>
      <c r="C29" s="412"/>
      <c r="D29" s="412"/>
      <c r="E29" s="412"/>
      <c r="F29" s="99"/>
      <c r="G29" s="99"/>
      <c r="H29" s="417"/>
      <c r="I29" s="417"/>
      <c r="J29" s="421"/>
      <c r="K29" s="421"/>
      <c r="L29" s="421"/>
      <c r="M29" s="421"/>
      <c r="N29" s="421"/>
      <c r="O29" s="421"/>
      <c r="P29" s="421"/>
      <c r="Q29" s="421"/>
      <c r="R29" s="421"/>
      <c r="S29" s="421"/>
      <c r="T29" s="421"/>
    </row>
    <row r="30" spans="1:21" ht="15" customHeight="1">
      <c r="A30" s="215" t="s">
        <v>39</v>
      </c>
      <c r="B30" s="515" t="s">
        <v>339</v>
      </c>
      <c r="C30" s="516"/>
      <c r="D30" s="517"/>
      <c r="E30" s="517"/>
      <c r="F30" s="518"/>
      <c r="G30" s="518"/>
      <c r="H30" s="518"/>
      <c r="I30" s="518"/>
      <c r="J30" s="518"/>
      <c r="K30" s="518"/>
      <c r="L30" s="518"/>
      <c r="M30" s="518"/>
      <c r="N30" s="518"/>
      <c r="O30" s="518"/>
      <c r="P30" s="518"/>
      <c r="Q30" s="518"/>
      <c r="R30" s="518"/>
      <c r="S30" s="518"/>
      <c r="T30" s="518"/>
    </row>
    <row r="31" spans="1:21" ht="15" hidden="1" customHeight="1" outlineLevel="1">
      <c r="A31" s="412"/>
      <c r="B31" s="418"/>
      <c r="C31" s="412"/>
      <c r="D31" s="412"/>
      <c r="E31" s="412"/>
      <c r="F31" s="99"/>
      <c r="G31" s="99"/>
      <c r="H31" s="417"/>
      <c r="I31" s="412"/>
      <c r="J31" s="412"/>
      <c r="K31" s="412"/>
      <c r="L31" s="412"/>
      <c r="M31" s="412"/>
      <c r="N31" s="412"/>
      <c r="O31" s="412"/>
      <c r="P31" s="412"/>
      <c r="Q31" s="412"/>
      <c r="R31" s="412"/>
      <c r="S31" s="412"/>
      <c r="T31" s="412"/>
      <c r="U31" s="412"/>
    </row>
    <row r="32" spans="1:21" ht="15" hidden="1" customHeight="1" outlineLevel="1" thickBot="1">
      <c r="A32" s="412"/>
      <c r="B32" s="10" t="s">
        <v>8</v>
      </c>
      <c r="C32" s="412"/>
      <c r="D32" s="412"/>
      <c r="E32" s="412"/>
      <c r="F32" s="99"/>
      <c r="G32" s="615"/>
      <c r="H32" s="614">
        <f>$J$5</f>
        <v>2024</v>
      </c>
      <c r="I32" s="614" t="s">
        <v>389</v>
      </c>
      <c r="J32" s="614" t="s">
        <v>390</v>
      </c>
      <c r="K32" s="577">
        <f>$K$5</f>
        <v>2025</v>
      </c>
      <c r="L32" s="577">
        <f>$L$5</f>
        <v>2026</v>
      </c>
      <c r="M32" s="577">
        <f>$M$5</f>
        <v>2027</v>
      </c>
      <c r="N32" s="577">
        <f>$N$5</f>
        <v>2028</v>
      </c>
      <c r="O32" s="577">
        <f>$O$5</f>
        <v>2029</v>
      </c>
      <c r="P32" s="577">
        <f>$P$5</f>
        <v>2030</v>
      </c>
      <c r="Q32" s="577">
        <f>$Q$5</f>
        <v>2031</v>
      </c>
      <c r="R32" s="577">
        <f>$R$5</f>
        <v>2032</v>
      </c>
      <c r="S32" s="577">
        <f>$S$5</f>
        <v>2033</v>
      </c>
      <c r="T32" s="577">
        <f>$T$5</f>
        <v>2034</v>
      </c>
    </row>
    <row r="33" spans="1:20" ht="15" hidden="1" customHeight="1" outlineLevel="1">
      <c r="A33" s="412"/>
      <c r="B33" s="10" t="str">
        <f>$B$6</f>
        <v>Model Running: Base Case Drivers</v>
      </c>
      <c r="C33" s="412"/>
      <c r="D33" s="412"/>
      <c r="E33" s="412"/>
      <c r="F33" s="99"/>
      <c r="G33" s="99"/>
      <c r="H33" s="417"/>
      <c r="I33" s="417"/>
      <c r="J33" s="422"/>
      <c r="K33" s="28"/>
      <c r="L33" s="28"/>
      <c r="M33" s="28"/>
      <c r="N33" s="28"/>
      <c r="O33" s="28"/>
      <c r="P33" s="28"/>
      <c r="Q33" s="28"/>
      <c r="R33" s="28"/>
      <c r="S33" s="28"/>
      <c r="T33" s="28"/>
    </row>
    <row r="34" spans="1:20" ht="15" hidden="1" customHeight="1" outlineLevel="1">
      <c r="A34" s="412"/>
      <c r="B34" s="10"/>
      <c r="C34" s="412"/>
      <c r="D34" s="412"/>
      <c r="E34" s="412"/>
      <c r="F34" s="99"/>
      <c r="G34" s="99"/>
      <c r="H34" s="417"/>
      <c r="I34" s="417"/>
      <c r="J34" s="420"/>
      <c r="K34" s="420"/>
      <c r="L34" s="420"/>
      <c r="M34" s="420"/>
      <c r="N34" s="420"/>
      <c r="O34" s="420"/>
      <c r="P34" s="420"/>
      <c r="Q34" s="420"/>
      <c r="R34" s="420"/>
      <c r="S34" s="420"/>
      <c r="T34" s="420"/>
    </row>
    <row r="35" spans="1:20" ht="15" hidden="1" customHeight="1" outlineLevel="1">
      <c r="A35" s="13"/>
      <c r="B35" s="402" t="s">
        <v>247</v>
      </c>
      <c r="C35" s="13"/>
      <c r="D35" s="412"/>
      <c r="E35" s="412"/>
      <c r="F35" s="99"/>
      <c r="G35" s="99"/>
      <c r="H35" s="417"/>
      <c r="I35" s="417"/>
      <c r="J35" s="421"/>
      <c r="K35" s="420"/>
      <c r="L35" s="420"/>
      <c r="M35" s="420"/>
      <c r="N35" s="420"/>
      <c r="O35" s="420"/>
      <c r="P35" s="420"/>
      <c r="Q35" s="420"/>
      <c r="R35" s="420"/>
      <c r="S35" s="420"/>
      <c r="T35" s="420"/>
    </row>
    <row r="36" spans="1:20" ht="15" hidden="1" customHeight="1" outlineLevel="1">
      <c r="A36" s="13"/>
      <c r="B36" s="13" t="s">
        <v>373</v>
      </c>
      <c r="C36" s="13"/>
      <c r="D36" s="412"/>
      <c r="E36" s="412"/>
      <c r="F36" s="99"/>
      <c r="G36" s="99"/>
      <c r="H36" s="617">
        <f>BS!$C$4+BS!$C$5</f>
        <v>628795</v>
      </c>
      <c r="I36" s="619">
        <f>-'Transaction Assumptions'!J8</f>
        <v>-428795</v>
      </c>
      <c r="J36" s="619">
        <f>SUM(H36:I36)</f>
        <v>200000</v>
      </c>
      <c r="K36" s="464">
        <f t="shared" ref="K36:T36" si="20">J36+K83</f>
        <v>5000</v>
      </c>
      <c r="L36" s="464">
        <f t="shared" si="20"/>
        <v>5000</v>
      </c>
      <c r="M36" s="464">
        <f t="shared" si="20"/>
        <v>5000</v>
      </c>
      <c r="N36" s="464">
        <f t="shared" si="20"/>
        <v>5000</v>
      </c>
      <c r="O36" s="464">
        <f t="shared" si="20"/>
        <v>154820.03127128695</v>
      </c>
      <c r="P36" s="464">
        <f t="shared" si="20"/>
        <v>587053.08461321285</v>
      </c>
      <c r="Q36" s="464">
        <f t="shared" si="20"/>
        <v>1250119.6540829227</v>
      </c>
      <c r="R36" s="464">
        <f t="shared" si="20"/>
        <v>2190769.8847802761</v>
      </c>
      <c r="S36" s="464">
        <f t="shared" si="20"/>
        <v>3288309.4834122919</v>
      </c>
      <c r="T36" s="464">
        <f t="shared" si="20"/>
        <v>4671535.4456374794</v>
      </c>
    </row>
    <row r="37" spans="1:20" ht="15" hidden="1" customHeight="1" outlineLevel="1">
      <c r="A37" s="13"/>
      <c r="B37" s="13" t="s">
        <v>2</v>
      </c>
      <c r="C37" s="13"/>
      <c r="D37" s="412"/>
      <c r="E37" s="412"/>
      <c r="F37" s="99"/>
      <c r="G37" s="99"/>
      <c r="H37" s="617">
        <f>BS!$C$6</f>
        <v>238708</v>
      </c>
      <c r="I37" s="619">
        <v>0</v>
      </c>
      <c r="J37" s="619">
        <f>SUM(H37:I37)</f>
        <v>238708</v>
      </c>
      <c r="K37" s="464">
        <f>K101</f>
        <v>255994.39726027398</v>
      </c>
      <c r="L37" s="464">
        <f t="shared" ref="L37:T37" si="21">L101</f>
        <v>310606.5353424658</v>
      </c>
      <c r="M37" s="464">
        <f t="shared" si="21"/>
        <v>403788.4959452055</v>
      </c>
      <c r="N37" s="464">
        <f t="shared" si="21"/>
        <v>520887.1597693151</v>
      </c>
      <c r="O37" s="464">
        <f t="shared" si="21"/>
        <v>623948.4049522439</v>
      </c>
      <c r="P37" s="464">
        <f t="shared" si="21"/>
        <v>794286.31950420665</v>
      </c>
      <c r="Q37" s="464">
        <f t="shared" si="21"/>
        <v>973795.02771215735</v>
      </c>
      <c r="R37" s="464">
        <f t="shared" si="21"/>
        <v>1058889.7316722351</v>
      </c>
      <c r="S37" s="464">
        <f t="shared" si="21"/>
        <v>1197604.2865212979</v>
      </c>
      <c r="T37" s="464">
        <f t="shared" si="21"/>
        <v>1190019.4593733298</v>
      </c>
    </row>
    <row r="38" spans="1:20" ht="15" hidden="1" customHeight="1" outlineLevel="1">
      <c r="A38" s="13"/>
      <c r="B38" s="13" t="s">
        <v>258</v>
      </c>
      <c r="C38" s="13"/>
      <c r="D38" s="412"/>
      <c r="E38" s="412"/>
      <c r="F38" s="99"/>
      <c r="G38" s="99"/>
      <c r="H38" s="617">
        <f>BS!$C$14</f>
        <v>141477</v>
      </c>
      <c r="I38" s="619">
        <f>'Transaction Assumptions'!$N$8-($H$49+$H$50)</f>
        <v>6109537.695648998</v>
      </c>
      <c r="J38" s="619">
        <f>SUM(H38:I38)</f>
        <v>6251014.695648998</v>
      </c>
      <c r="K38" s="464">
        <f>J38</f>
        <v>6251014.695648998</v>
      </c>
      <c r="L38" s="464">
        <f t="shared" ref="L38:T38" si="22">K38</f>
        <v>6251014.695648998</v>
      </c>
      <c r="M38" s="464">
        <f t="shared" si="22"/>
        <v>6251014.695648998</v>
      </c>
      <c r="N38" s="464">
        <f t="shared" si="22"/>
        <v>6251014.695648998</v>
      </c>
      <c r="O38" s="464">
        <f t="shared" si="22"/>
        <v>6251014.695648998</v>
      </c>
      <c r="P38" s="464">
        <f t="shared" si="22"/>
        <v>6251014.695648998</v>
      </c>
      <c r="Q38" s="464">
        <f t="shared" si="22"/>
        <v>6251014.695648998</v>
      </c>
      <c r="R38" s="464">
        <f t="shared" si="22"/>
        <v>6251014.695648998</v>
      </c>
      <c r="S38" s="464">
        <f t="shared" si="22"/>
        <v>6251014.695648998</v>
      </c>
      <c r="T38" s="464">
        <f t="shared" si="22"/>
        <v>6251014.695648998</v>
      </c>
    </row>
    <row r="39" spans="1:20" ht="15" hidden="1" customHeight="1" outlineLevel="1">
      <c r="A39" s="13"/>
      <c r="B39" s="13" t="s">
        <v>341</v>
      </c>
      <c r="C39" s="13"/>
      <c r="D39" s="412"/>
      <c r="E39" s="412"/>
      <c r="F39" s="99"/>
      <c r="G39" s="99"/>
      <c r="H39" s="617">
        <f>BS!$C$7+BS!$C$9+BS!$C$10+BS!$C$12+BS!$C$13+BS!$C$15</f>
        <v>286137</v>
      </c>
      <c r="I39" s="619">
        <v>0</v>
      </c>
      <c r="J39" s="619">
        <f>SUM(H39:I39)</f>
        <v>286137</v>
      </c>
      <c r="K39" s="464">
        <f>J39*1.05</f>
        <v>300443.85000000003</v>
      </c>
      <c r="L39" s="464">
        <f t="shared" ref="L39:T39" si="23">K39*1.05</f>
        <v>315466.04250000004</v>
      </c>
      <c r="M39" s="464">
        <f t="shared" si="23"/>
        <v>331239.34462500003</v>
      </c>
      <c r="N39" s="464">
        <f t="shared" si="23"/>
        <v>347801.31185625005</v>
      </c>
      <c r="O39" s="464">
        <f t="shared" si="23"/>
        <v>365191.37744906254</v>
      </c>
      <c r="P39" s="464">
        <f t="shared" si="23"/>
        <v>383450.94632151566</v>
      </c>
      <c r="Q39" s="464">
        <f t="shared" si="23"/>
        <v>402623.49363759148</v>
      </c>
      <c r="R39" s="464">
        <f t="shared" si="23"/>
        <v>422754.66831947106</v>
      </c>
      <c r="S39" s="464">
        <f t="shared" si="23"/>
        <v>443892.40173544461</v>
      </c>
      <c r="T39" s="464">
        <f t="shared" si="23"/>
        <v>466087.02182221686</v>
      </c>
    </row>
    <row r="40" spans="1:20" ht="15" hidden="1" customHeight="1" outlineLevel="1">
      <c r="A40" s="13"/>
      <c r="B40" s="13" t="s">
        <v>357</v>
      </c>
      <c r="C40" s="13"/>
      <c r="D40" s="412"/>
      <c r="E40" s="412"/>
      <c r="F40" s="99"/>
      <c r="G40" s="99"/>
      <c r="H40" s="627">
        <f>$J$136</f>
        <v>42362</v>
      </c>
      <c r="I40" s="628">
        <v>0</v>
      </c>
      <c r="J40" s="628">
        <f>SUM(H40:I40)</f>
        <v>42362</v>
      </c>
      <c r="K40" s="629">
        <f t="shared" ref="K40:T40" si="24">K136</f>
        <v>42362</v>
      </c>
      <c r="L40" s="629">
        <f t="shared" si="24"/>
        <v>42362.000000000007</v>
      </c>
      <c r="M40" s="629">
        <f t="shared" si="24"/>
        <v>42362.000000000007</v>
      </c>
      <c r="N40" s="629">
        <f t="shared" si="24"/>
        <v>42362.000000000007</v>
      </c>
      <c r="O40" s="629">
        <f t="shared" si="24"/>
        <v>42362.000000000015</v>
      </c>
      <c r="P40" s="629">
        <f t="shared" si="24"/>
        <v>42362.000000000015</v>
      </c>
      <c r="Q40" s="629">
        <f t="shared" si="24"/>
        <v>42362.000000000015</v>
      </c>
      <c r="R40" s="629">
        <f t="shared" si="24"/>
        <v>42362.000000000015</v>
      </c>
      <c r="S40" s="629">
        <f t="shared" si="24"/>
        <v>42362</v>
      </c>
      <c r="T40" s="629">
        <f t="shared" si="24"/>
        <v>42362</v>
      </c>
    </row>
    <row r="41" spans="1:20" ht="15" hidden="1" customHeight="1" outlineLevel="1">
      <c r="A41" s="13"/>
      <c r="B41" s="402" t="s">
        <v>352</v>
      </c>
      <c r="C41" s="13"/>
      <c r="D41" s="412"/>
      <c r="E41" s="412"/>
      <c r="F41" s="99"/>
      <c r="G41" s="99"/>
      <c r="H41" s="616">
        <f t="shared" ref="H41:T41" si="25">SUM(H36:H40)</f>
        <v>1337479</v>
      </c>
      <c r="I41" s="616"/>
      <c r="J41" s="620">
        <f>SUM(J36:J40)</f>
        <v>7018221.695648998</v>
      </c>
      <c r="K41" s="423">
        <f t="shared" si="25"/>
        <v>6854814.9429092715</v>
      </c>
      <c r="L41" s="423">
        <f t="shared" si="25"/>
        <v>6924449.2734914646</v>
      </c>
      <c r="M41" s="423">
        <f t="shared" si="25"/>
        <v>7033404.5362192038</v>
      </c>
      <c r="N41" s="423">
        <f t="shared" si="25"/>
        <v>7167065.1672745636</v>
      </c>
      <c r="O41" s="423">
        <f t="shared" si="25"/>
        <v>7437336.5093215918</v>
      </c>
      <c r="P41" s="423">
        <f t="shared" si="25"/>
        <v>8058167.0460879328</v>
      </c>
      <c r="Q41" s="423">
        <f t="shared" si="25"/>
        <v>8919914.8710816689</v>
      </c>
      <c r="R41" s="423">
        <f t="shared" si="25"/>
        <v>9965790.9804209806</v>
      </c>
      <c r="S41" s="423">
        <f t="shared" si="25"/>
        <v>11223182.867318032</v>
      </c>
      <c r="T41" s="423">
        <f t="shared" si="25"/>
        <v>12621018.622482022</v>
      </c>
    </row>
    <row r="42" spans="1:20" ht="15" hidden="1" customHeight="1" outlineLevel="1">
      <c r="A42" s="13"/>
      <c r="B42" s="13"/>
      <c r="C42" s="13"/>
      <c r="D42" s="412"/>
      <c r="E42" s="412"/>
      <c r="F42" s="99"/>
      <c r="G42" s="99"/>
      <c r="H42" s="616"/>
      <c r="I42" s="616"/>
      <c r="J42" s="621"/>
      <c r="K42" s="391"/>
      <c r="L42" s="391"/>
      <c r="M42" s="391"/>
      <c r="N42" s="391"/>
      <c r="O42" s="391"/>
      <c r="P42" s="391"/>
      <c r="Q42" s="391"/>
      <c r="R42" s="391"/>
      <c r="S42" s="391"/>
      <c r="T42" s="391"/>
    </row>
    <row r="43" spans="1:20" ht="15" hidden="1" customHeight="1" outlineLevel="1">
      <c r="A43" s="13"/>
      <c r="B43" s="402" t="s">
        <v>351</v>
      </c>
      <c r="C43" s="402"/>
      <c r="D43" s="412"/>
      <c r="E43" s="412"/>
      <c r="F43" s="99"/>
      <c r="G43" s="99"/>
      <c r="H43" s="616"/>
      <c r="I43" s="616"/>
      <c r="J43" s="622"/>
      <c r="K43" s="391"/>
      <c r="L43" s="391"/>
      <c r="M43" s="391"/>
      <c r="N43" s="391"/>
      <c r="O43" s="391"/>
      <c r="P43" s="391"/>
      <c r="Q43" s="391"/>
      <c r="R43" s="391"/>
      <c r="S43" s="391"/>
      <c r="T43" s="391"/>
    </row>
    <row r="44" spans="1:20" ht="15" hidden="1" customHeight="1" outlineLevel="1">
      <c r="A44" s="13"/>
      <c r="B44" s="13" t="s">
        <v>350</v>
      </c>
      <c r="C44" s="13"/>
      <c r="D44" s="412"/>
      <c r="E44" s="412"/>
      <c r="F44" s="99"/>
      <c r="G44" s="99"/>
      <c r="H44" s="617">
        <f>BS!$C$18</f>
        <v>2937</v>
      </c>
      <c r="I44" s="619">
        <v>0</v>
      </c>
      <c r="J44" s="619">
        <f>SUM(H44:I44)</f>
        <v>2937</v>
      </c>
      <c r="K44" s="464">
        <f>K102</f>
        <v>5188.1531178082178</v>
      </c>
      <c r="L44" s="464">
        <f t="shared" ref="L44:T44" si="26">L102</f>
        <v>8430.7488164383576</v>
      </c>
      <c r="M44" s="464">
        <f t="shared" si="26"/>
        <v>10959.973461369862</v>
      </c>
      <c r="N44" s="464">
        <f t="shared" si="26"/>
        <v>16966.038918200542</v>
      </c>
      <c r="O44" s="464">
        <f t="shared" si="26"/>
        <v>21886.190204478706</v>
      </c>
      <c r="P44" s="464">
        <f t="shared" si="26"/>
        <v>32504.640152018288</v>
      </c>
      <c r="Q44" s="464">
        <f t="shared" si="26"/>
        <v>39850.688826374426</v>
      </c>
      <c r="R44" s="464">
        <f t="shared" si="26"/>
        <v>53650.413071393232</v>
      </c>
      <c r="S44" s="464">
        <f t="shared" si="26"/>
        <v>60678.617183745722</v>
      </c>
      <c r="T44" s="464">
        <f t="shared" si="26"/>
        <v>73997.573655577929</v>
      </c>
    </row>
    <row r="45" spans="1:20" ht="15" hidden="1" customHeight="1" outlineLevel="1">
      <c r="A45" s="13"/>
      <c r="B45" s="13" t="s">
        <v>387</v>
      </c>
      <c r="C45" s="13"/>
      <c r="D45" s="412"/>
      <c r="E45" s="412"/>
      <c r="F45" s="99"/>
      <c r="G45" s="99"/>
      <c r="H45" s="617">
        <v>0</v>
      </c>
      <c r="I45" s="619">
        <f>'Transaction Assumptions'!$J$12</f>
        <v>0</v>
      </c>
      <c r="J45" s="619">
        <f t="shared" ref="J45:J46" si="27">SUM(H45:I45)</f>
        <v>0</v>
      </c>
      <c r="K45" s="464">
        <f>K286</f>
        <v>0</v>
      </c>
      <c r="L45" s="464">
        <f t="shared" ref="L45:T45" si="28">L286</f>
        <v>54061.96580588934</v>
      </c>
      <c r="M45" s="464">
        <f t="shared" si="28"/>
        <v>55353.251779046004</v>
      </c>
      <c r="N45" s="464">
        <f t="shared" si="28"/>
        <v>0</v>
      </c>
      <c r="O45" s="464">
        <f t="shared" si="28"/>
        <v>0</v>
      </c>
      <c r="P45" s="464">
        <f t="shared" si="28"/>
        <v>0</v>
      </c>
      <c r="Q45" s="464">
        <f t="shared" si="28"/>
        <v>0</v>
      </c>
      <c r="R45" s="464">
        <f t="shared" si="28"/>
        <v>0</v>
      </c>
      <c r="S45" s="464">
        <f t="shared" si="28"/>
        <v>0</v>
      </c>
      <c r="T45" s="464">
        <f t="shared" si="28"/>
        <v>0</v>
      </c>
    </row>
    <row r="46" spans="1:20" ht="15" hidden="1" customHeight="1" outlineLevel="1">
      <c r="A46" s="13"/>
      <c r="B46" s="13" t="s">
        <v>388</v>
      </c>
      <c r="C46" s="13"/>
      <c r="D46" s="412"/>
      <c r="E46" s="412"/>
      <c r="F46" s="99"/>
      <c r="G46" s="99"/>
      <c r="H46" s="617">
        <v>0</v>
      </c>
      <c r="I46" s="619">
        <f>'Transaction Assumptions'!$J$9</f>
        <v>540831.4156519199</v>
      </c>
      <c r="J46" s="619">
        <f t="shared" si="27"/>
        <v>540831.4156519199</v>
      </c>
      <c r="K46" s="464">
        <f>K287</f>
        <v>403444.65270956664</v>
      </c>
      <c r="L46" s="464">
        <f t="shared" ref="L46:T46" si="29">L287</f>
        <v>349361.51114437461</v>
      </c>
      <c r="M46" s="464">
        <f t="shared" si="29"/>
        <v>295278.36957918259</v>
      </c>
      <c r="N46" s="464">
        <f t="shared" si="29"/>
        <v>188845.92713648407</v>
      </c>
      <c r="O46" s="464">
        <f t="shared" si="29"/>
        <v>0</v>
      </c>
      <c r="P46" s="464">
        <f t="shared" si="29"/>
        <v>0</v>
      </c>
      <c r="Q46" s="464">
        <f t="shared" si="29"/>
        <v>0</v>
      </c>
      <c r="R46" s="464">
        <f t="shared" si="29"/>
        <v>0</v>
      </c>
      <c r="S46" s="464">
        <f t="shared" si="29"/>
        <v>0</v>
      </c>
      <c r="T46" s="464">
        <f t="shared" si="29"/>
        <v>0</v>
      </c>
    </row>
    <row r="47" spans="1:20" ht="15" hidden="1" customHeight="1" outlineLevel="1">
      <c r="A47" s="13"/>
      <c r="B47" s="13" t="s">
        <v>178</v>
      </c>
      <c r="C47" s="13"/>
      <c r="D47" s="412"/>
      <c r="E47" s="412"/>
      <c r="F47" s="99"/>
      <c r="G47" s="99"/>
      <c r="H47" s="617">
        <v>0</v>
      </c>
      <c r="I47" s="619">
        <f>'Transaction Assumptions'!$J$10</f>
        <v>1487286.3930427795</v>
      </c>
      <c r="J47" s="619">
        <f>SUM(H47:I47)</f>
        <v>1487286.3930427795</v>
      </c>
      <c r="K47" s="464">
        <f>K288</f>
        <v>1598832.8725209881</v>
      </c>
      <c r="L47" s="464">
        <f t="shared" ref="L47:T47" si="30">L288</f>
        <v>1718745.3379600623</v>
      </c>
      <c r="M47" s="464">
        <f t="shared" si="30"/>
        <v>1847651.238307067</v>
      </c>
      <c r="N47" s="464">
        <f t="shared" si="30"/>
        <v>1986225.0811800971</v>
      </c>
      <c r="O47" s="464">
        <f t="shared" si="30"/>
        <v>2135191.9622686044</v>
      </c>
      <c r="P47" s="464">
        <f t="shared" si="30"/>
        <v>2188571.7613253198</v>
      </c>
      <c r="Q47" s="464">
        <f t="shared" si="30"/>
        <v>2243286.0553584527</v>
      </c>
      <c r="R47" s="464">
        <f t="shared" si="30"/>
        <v>2299368.2067424143</v>
      </c>
      <c r="S47" s="464">
        <f t="shared" si="30"/>
        <v>2356852.4119109744</v>
      </c>
      <c r="T47" s="464">
        <f t="shared" si="30"/>
        <v>2415773.7222087486</v>
      </c>
    </row>
    <row r="48" spans="1:20" ht="15" hidden="1" customHeight="1" outlineLevel="1">
      <c r="A48" s="13"/>
      <c r="B48" s="13" t="s">
        <v>342</v>
      </c>
      <c r="C48" s="13"/>
      <c r="D48" s="412"/>
      <c r="E48" s="412"/>
      <c r="F48" s="99"/>
      <c r="G48" s="99"/>
      <c r="H48" s="617">
        <f>BS!$C$19+BS!$C$20+BS!$C$21+BS!$C$22+BS!$C$23+BS!$C$25+BS!$C$26+BS!$C$27+BS!$C$28</f>
        <v>728687</v>
      </c>
      <c r="I48" s="619">
        <v>0</v>
      </c>
      <c r="J48" s="619">
        <f>SUM(H48:I48)</f>
        <v>728687</v>
      </c>
      <c r="K48" s="464">
        <f>J48*1.05</f>
        <v>765121.35</v>
      </c>
      <c r="L48" s="464">
        <f t="shared" ref="L48:T48" si="31">K48*1.05</f>
        <v>803377.41749999998</v>
      </c>
      <c r="M48" s="464">
        <f t="shared" si="31"/>
        <v>843546.288375</v>
      </c>
      <c r="N48" s="464">
        <f t="shared" si="31"/>
        <v>885723.60279375</v>
      </c>
      <c r="O48" s="464">
        <f t="shared" si="31"/>
        <v>930009.7829334375</v>
      </c>
      <c r="P48" s="464">
        <f t="shared" si="31"/>
        <v>976510.27208010945</v>
      </c>
      <c r="Q48" s="464">
        <f t="shared" si="31"/>
        <v>1025335.785684115</v>
      </c>
      <c r="R48" s="464">
        <f t="shared" si="31"/>
        <v>1076602.5749683208</v>
      </c>
      <c r="S48" s="464">
        <f t="shared" si="31"/>
        <v>1130432.703716737</v>
      </c>
      <c r="T48" s="464">
        <f t="shared" si="31"/>
        <v>1186954.3389025738</v>
      </c>
    </row>
    <row r="49" spans="1:20" ht="15" hidden="1" customHeight="1" outlineLevel="1">
      <c r="A49" s="13"/>
      <c r="B49" s="13" t="s">
        <v>343</v>
      </c>
      <c r="C49" s="13"/>
      <c r="D49" s="412"/>
      <c r="E49" s="412"/>
      <c r="F49" s="99"/>
      <c r="G49" s="99"/>
      <c r="H49" s="617">
        <f>BS!$C$31</f>
        <v>1468805</v>
      </c>
      <c r="I49" s="619">
        <v>0</v>
      </c>
      <c r="J49" s="619">
        <f>'Transaction Assumptions'!J11</f>
        <v>4303479.8869542982</v>
      </c>
      <c r="K49" s="464">
        <f t="shared" ref="K49:T49" si="32">J49+K77</f>
        <v>4303479.8869542982</v>
      </c>
      <c r="L49" s="464">
        <f t="shared" si="32"/>
        <v>4303479.8869542982</v>
      </c>
      <c r="M49" s="464">
        <f t="shared" si="32"/>
        <v>4303479.8869542982</v>
      </c>
      <c r="N49" s="464">
        <f t="shared" si="32"/>
        <v>4303479.8869542982</v>
      </c>
      <c r="O49" s="464">
        <f t="shared" si="32"/>
        <v>4303479.8869542982</v>
      </c>
      <c r="P49" s="464">
        <f t="shared" si="32"/>
        <v>4303479.8869542982</v>
      </c>
      <c r="Q49" s="464">
        <f t="shared" si="32"/>
        <v>4303479.8869542982</v>
      </c>
      <c r="R49" s="464">
        <f t="shared" si="32"/>
        <v>4303479.8869542982</v>
      </c>
      <c r="S49" s="464">
        <f t="shared" si="32"/>
        <v>4303479.8869542982</v>
      </c>
      <c r="T49" s="464">
        <f t="shared" si="32"/>
        <v>4303479.8869542982</v>
      </c>
    </row>
    <row r="50" spans="1:20" ht="15" hidden="1" customHeight="1" outlineLevel="1">
      <c r="A50" s="13"/>
      <c r="B50" s="13" t="s">
        <v>386</v>
      </c>
      <c r="C50" s="13"/>
      <c r="D50" s="412"/>
      <c r="E50" s="412"/>
      <c r="F50" s="99"/>
      <c r="G50" s="99"/>
      <c r="H50" s="627">
        <f>BS!$C$32+BS!$C$33</f>
        <v>-862950</v>
      </c>
      <c r="I50" s="628">
        <v>0</v>
      </c>
      <c r="J50" s="628">
        <f>-'Transaction Assumptions'!N10</f>
        <v>-45000</v>
      </c>
      <c r="K50" s="629">
        <f t="shared" ref="K50:T50" si="33">J50+K27+K78</f>
        <v>-221251.97239338988</v>
      </c>
      <c r="L50" s="629">
        <f t="shared" si="33"/>
        <v>-313007.59468959889</v>
      </c>
      <c r="M50" s="629">
        <f t="shared" si="33"/>
        <v>-322864.4722367606</v>
      </c>
      <c r="N50" s="629">
        <f t="shared" si="33"/>
        <v>-214175.36970826684</v>
      </c>
      <c r="O50" s="629">
        <f t="shared" si="33"/>
        <v>46768.686960772437</v>
      </c>
      <c r="P50" s="629">
        <f t="shared" si="33"/>
        <v>557100.48557618703</v>
      </c>
      <c r="Q50" s="629">
        <f t="shared" si="33"/>
        <v>1307962.4542584291</v>
      </c>
      <c r="R50" s="629">
        <f t="shared" si="33"/>
        <v>2232689.8986845543</v>
      </c>
      <c r="S50" s="629">
        <f t="shared" si="33"/>
        <v>3371739.2475522775</v>
      </c>
      <c r="T50" s="629">
        <f t="shared" si="33"/>
        <v>4640813.1007608259</v>
      </c>
    </row>
    <row r="51" spans="1:20" ht="15" hidden="1" customHeight="1" outlineLevel="1">
      <c r="A51" s="13"/>
      <c r="B51" s="402" t="s">
        <v>349</v>
      </c>
      <c r="C51" s="13"/>
      <c r="D51" s="412"/>
      <c r="E51" s="412"/>
      <c r="F51" s="99"/>
      <c r="G51" s="99"/>
      <c r="H51" s="616">
        <f t="shared" ref="H51:T51" si="34">SUM(H44:H50)</f>
        <v>1337479</v>
      </c>
      <c r="I51" s="619"/>
      <c r="J51" s="620">
        <f>SUM(J44:J50)</f>
        <v>7018221.695648998</v>
      </c>
      <c r="K51" s="423">
        <f t="shared" si="34"/>
        <v>6854814.9429092715</v>
      </c>
      <c r="L51" s="423">
        <f t="shared" si="34"/>
        <v>6924449.2734914636</v>
      </c>
      <c r="M51" s="423">
        <f t="shared" si="34"/>
        <v>7033404.5362192029</v>
      </c>
      <c r="N51" s="423">
        <f t="shared" si="34"/>
        <v>7167065.1672745626</v>
      </c>
      <c r="O51" s="423">
        <f t="shared" si="34"/>
        <v>7437336.5093215918</v>
      </c>
      <c r="P51" s="423">
        <f t="shared" si="34"/>
        <v>8058167.0460879328</v>
      </c>
      <c r="Q51" s="423">
        <f t="shared" si="34"/>
        <v>8919914.8710816689</v>
      </c>
      <c r="R51" s="423">
        <f t="shared" si="34"/>
        <v>9965790.9804209806</v>
      </c>
      <c r="S51" s="423">
        <f t="shared" si="34"/>
        <v>11223182.867318034</v>
      </c>
      <c r="T51" s="423">
        <f t="shared" si="34"/>
        <v>12621018.622482024</v>
      </c>
    </row>
    <row r="52" spans="1:20" ht="15" hidden="1" customHeight="1" outlineLevel="1">
      <c r="A52" s="13"/>
      <c r="B52" s="402"/>
      <c r="C52" s="13"/>
      <c r="D52" s="412"/>
      <c r="E52" s="412"/>
      <c r="F52" s="99"/>
      <c r="G52" s="99"/>
      <c r="H52" s="417"/>
      <c r="I52" s="414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</row>
    <row r="53" spans="1:20" ht="15" hidden="1" customHeight="1" outlineLevel="1">
      <c r="A53" s="13"/>
      <c r="B53" s="424" t="s">
        <v>358</v>
      </c>
      <c r="C53" s="13"/>
      <c r="D53" s="412"/>
      <c r="E53" s="412"/>
      <c r="F53" s="99"/>
      <c r="G53" s="99"/>
      <c r="H53" s="417"/>
      <c r="I53" s="414"/>
      <c r="J53" s="91">
        <f t="shared" ref="J53:T53" si="35">J41-J51</f>
        <v>0</v>
      </c>
      <c r="K53" s="91">
        <f>K41-K51</f>
        <v>0</v>
      </c>
      <c r="L53" s="91">
        <f>L41-L51</f>
        <v>0</v>
      </c>
      <c r="M53" s="91">
        <f t="shared" si="35"/>
        <v>0</v>
      </c>
      <c r="N53" s="91">
        <f t="shared" si="35"/>
        <v>0</v>
      </c>
      <c r="O53" s="91">
        <f t="shared" si="35"/>
        <v>0</v>
      </c>
      <c r="P53" s="91">
        <f t="shared" si="35"/>
        <v>0</v>
      </c>
      <c r="Q53" s="91">
        <f t="shared" si="35"/>
        <v>0</v>
      </c>
      <c r="R53" s="91">
        <f t="shared" si="35"/>
        <v>0</v>
      </c>
      <c r="S53" s="91">
        <f t="shared" si="35"/>
        <v>0</v>
      </c>
      <c r="T53" s="91">
        <f t="shared" si="35"/>
        <v>0</v>
      </c>
    </row>
    <row r="54" spans="1:20" ht="15" hidden="1" customHeight="1" outlineLevel="1">
      <c r="A54" s="13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</row>
    <row r="55" spans="1:20" ht="15" customHeight="1" collapsed="1">
      <c r="A55" s="13"/>
      <c r="B55" s="424"/>
      <c r="C55" s="13"/>
      <c r="D55" s="412"/>
      <c r="E55" s="412"/>
      <c r="F55" s="99"/>
      <c r="G55" s="99"/>
      <c r="H55" s="417"/>
      <c r="I55" s="417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</row>
    <row r="56" spans="1:20" ht="15" customHeight="1">
      <c r="A56" s="215" t="s">
        <v>39</v>
      </c>
      <c r="B56" s="515" t="s">
        <v>67</v>
      </c>
      <c r="C56" s="516"/>
      <c r="D56" s="517"/>
      <c r="E56" s="517"/>
      <c r="F56" s="518"/>
      <c r="G56" s="518"/>
      <c r="H56" s="518"/>
      <c r="I56" s="518"/>
      <c r="J56" s="518"/>
      <c r="K56" s="518"/>
      <c r="L56" s="518"/>
      <c r="M56" s="518"/>
      <c r="N56" s="518"/>
      <c r="O56" s="518"/>
      <c r="P56" s="518"/>
      <c r="Q56" s="518"/>
      <c r="R56" s="518"/>
      <c r="S56" s="518"/>
      <c r="T56" s="518"/>
    </row>
    <row r="57" spans="1:20" ht="15" hidden="1" customHeight="1" outlineLevel="1">
      <c r="A57" s="13"/>
      <c r="B57" s="424"/>
      <c r="C57" s="13"/>
      <c r="D57" s="412"/>
      <c r="E57" s="412"/>
      <c r="F57" s="99"/>
      <c r="G57" s="99"/>
      <c r="H57" s="417"/>
      <c r="I57" s="417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</row>
    <row r="58" spans="1:20" ht="15" hidden="1" customHeight="1" outlineLevel="1" thickBot="1">
      <c r="A58" s="13"/>
      <c r="B58" s="10" t="s">
        <v>8</v>
      </c>
      <c r="C58" s="412"/>
      <c r="D58" s="412"/>
      <c r="E58" s="412"/>
      <c r="F58" s="99"/>
      <c r="G58" s="99"/>
      <c r="H58" s="417"/>
      <c r="I58" s="417"/>
      <c r="J58" s="614">
        <f>$J$5</f>
        <v>2024</v>
      </c>
      <c r="K58" s="577">
        <f>$K$5</f>
        <v>2025</v>
      </c>
      <c r="L58" s="577">
        <f>$L$5</f>
        <v>2026</v>
      </c>
      <c r="M58" s="577">
        <f>$M$5</f>
        <v>2027</v>
      </c>
      <c r="N58" s="577">
        <f>$N$5</f>
        <v>2028</v>
      </c>
      <c r="O58" s="577">
        <f>$O$5</f>
        <v>2029</v>
      </c>
      <c r="P58" s="577">
        <f>$P$5</f>
        <v>2030</v>
      </c>
      <c r="Q58" s="577">
        <f>$Q$5</f>
        <v>2031</v>
      </c>
      <c r="R58" s="577">
        <f>$R$5</f>
        <v>2032</v>
      </c>
      <c r="S58" s="577">
        <f>$S$5</f>
        <v>2033</v>
      </c>
      <c r="T58" s="577">
        <f>$T$5</f>
        <v>2034</v>
      </c>
    </row>
    <row r="59" spans="1:20" ht="15" hidden="1" customHeight="1" outlineLevel="1">
      <c r="A59" s="412"/>
      <c r="B59" s="10" t="str">
        <f>$B$6</f>
        <v>Model Running: Base Case Drivers</v>
      </c>
      <c r="C59" s="412"/>
      <c r="D59" s="412"/>
      <c r="E59" s="412"/>
      <c r="F59" s="99"/>
      <c r="G59" s="99"/>
      <c r="H59" s="417"/>
      <c r="I59" s="417"/>
      <c r="J59" s="422"/>
      <c r="K59" s="28"/>
      <c r="L59" s="28"/>
      <c r="M59" s="28"/>
      <c r="N59" s="28"/>
      <c r="O59" s="28"/>
      <c r="P59" s="28"/>
      <c r="Q59" s="28"/>
      <c r="R59" s="28"/>
      <c r="S59" s="28"/>
      <c r="T59" s="28"/>
    </row>
    <row r="60" spans="1:20" ht="15" hidden="1" customHeight="1" outlineLevel="1">
      <c r="A60" s="412"/>
      <c r="B60" s="10"/>
      <c r="C60" s="412"/>
      <c r="D60" s="412"/>
      <c r="E60" s="412"/>
      <c r="F60" s="99"/>
      <c r="G60" s="99"/>
      <c r="H60" s="417"/>
      <c r="I60" s="417"/>
      <c r="J60" s="422"/>
      <c r="K60" s="28"/>
      <c r="L60" s="28"/>
      <c r="M60" s="28"/>
      <c r="N60" s="28"/>
      <c r="O60" s="28"/>
      <c r="P60" s="28"/>
      <c r="Q60" s="28"/>
      <c r="R60" s="28"/>
      <c r="S60" s="28"/>
      <c r="T60" s="28"/>
    </row>
    <row r="61" spans="1:20" ht="15" hidden="1" customHeight="1" outlineLevel="1">
      <c r="A61" s="412"/>
      <c r="B61" s="402" t="s">
        <v>67</v>
      </c>
      <c r="C61" s="13"/>
      <c r="D61" s="412"/>
      <c r="E61" s="412"/>
      <c r="F61" s="99"/>
      <c r="G61" s="99"/>
      <c r="H61" s="417"/>
      <c r="I61" s="417"/>
      <c r="J61" s="404"/>
      <c r="K61" s="391"/>
      <c r="L61" s="391"/>
      <c r="M61" s="391"/>
      <c r="N61" s="391"/>
      <c r="O61" s="391"/>
      <c r="P61" s="391"/>
      <c r="Q61" s="391"/>
      <c r="R61" s="391"/>
      <c r="S61" s="391"/>
      <c r="T61" s="391"/>
    </row>
    <row r="62" spans="1:20" ht="15" hidden="1" customHeight="1" outlineLevel="1">
      <c r="A62" s="412"/>
      <c r="B62" s="13" t="s">
        <v>16</v>
      </c>
      <c r="C62" s="13"/>
      <c r="D62" s="412"/>
      <c r="E62" s="412"/>
      <c r="F62" s="99"/>
      <c r="G62" s="99"/>
      <c r="H62" s="417"/>
      <c r="I62" s="417"/>
      <c r="J62" s="85">
        <f t="shared" ref="J62:T62" si="36">J27</f>
        <v>-104631</v>
      </c>
      <c r="K62" s="85">
        <f t="shared" si="36"/>
        <v>-176251.97239338988</v>
      </c>
      <c r="L62" s="85">
        <f t="shared" si="36"/>
        <v>-91755.622296208981</v>
      </c>
      <c r="M62" s="85">
        <f t="shared" si="36"/>
        <v>-9856.8775471617118</v>
      </c>
      <c r="N62" s="85">
        <f t="shared" si="36"/>
        <v>108689.10252849376</v>
      </c>
      <c r="O62" s="85">
        <f t="shared" si="36"/>
        <v>260944.05666903927</v>
      </c>
      <c r="P62" s="85">
        <f t="shared" si="36"/>
        <v>510331.79861541465</v>
      </c>
      <c r="Q62" s="85">
        <f t="shared" si="36"/>
        <v>750861.96868224209</v>
      </c>
      <c r="R62" s="85">
        <f t="shared" si="36"/>
        <v>924727.44442612503</v>
      </c>
      <c r="S62" s="85">
        <f t="shared" si="36"/>
        <v>1139049.348867723</v>
      </c>
      <c r="T62" s="85">
        <f t="shared" si="36"/>
        <v>1269073.8532085484</v>
      </c>
    </row>
    <row r="63" spans="1:20" ht="15" hidden="1" customHeight="1" outlineLevel="1">
      <c r="A63" s="412"/>
      <c r="B63" s="13" t="s">
        <v>13</v>
      </c>
      <c r="C63" s="13"/>
      <c r="D63" s="412"/>
      <c r="E63" s="412"/>
      <c r="F63" s="99"/>
      <c r="G63" s="99"/>
      <c r="H63" s="417"/>
      <c r="I63" s="417"/>
      <c r="J63" s="85">
        <f>J118</f>
        <v>27012</v>
      </c>
      <c r="K63" s="85">
        <f t="shared" ref="K63:T63" si="37">K118</f>
        <v>24916.788000000004</v>
      </c>
      <c r="L63" s="85">
        <f t="shared" si="37"/>
        <v>32391.824400000005</v>
      </c>
      <c r="M63" s="85">
        <f t="shared" si="37"/>
        <v>42109.371720000003</v>
      </c>
      <c r="N63" s="85">
        <f t="shared" si="37"/>
        <v>54321.089518800007</v>
      </c>
      <c r="O63" s="85">
        <f t="shared" si="37"/>
        <v>70074.205479252021</v>
      </c>
      <c r="P63" s="85">
        <f t="shared" si="37"/>
        <v>89204.463575087822</v>
      </c>
      <c r="Q63" s="85">
        <f t="shared" si="37"/>
        <v>109364.67234305768</v>
      </c>
      <c r="R63" s="85">
        <f t="shared" si="37"/>
        <v>128831.58402012194</v>
      </c>
      <c r="S63" s="85">
        <f t="shared" si="37"/>
        <v>145708.52152675792</v>
      </c>
      <c r="T63" s="85">
        <f t="shared" si="37"/>
        <v>157948.03733500559</v>
      </c>
    </row>
    <row r="64" spans="1:20" ht="15" hidden="1" customHeight="1" outlineLevel="1">
      <c r="A64" s="412"/>
      <c r="B64" s="13" t="s">
        <v>391</v>
      </c>
      <c r="C64" s="13"/>
      <c r="D64" s="412"/>
      <c r="E64" s="412"/>
      <c r="F64" s="99"/>
      <c r="G64" s="99"/>
      <c r="H64" s="417"/>
      <c r="I64" s="417"/>
      <c r="J64" s="85"/>
      <c r="K64" s="85">
        <f>K248</f>
        <v>111546.47947820848</v>
      </c>
      <c r="L64" s="85">
        <f>L248</f>
        <v>119912.46543907412</v>
      </c>
      <c r="M64" s="85">
        <f t="shared" ref="M64:T64" si="38">M248</f>
        <v>128905.90034700469</v>
      </c>
      <c r="N64" s="85">
        <f t="shared" si="38"/>
        <v>138573.84287303005</v>
      </c>
      <c r="O64" s="85">
        <f t="shared" si="38"/>
        <v>148966.8810885073</v>
      </c>
      <c r="P64" s="85">
        <f t="shared" si="38"/>
        <v>53379.799056715114</v>
      </c>
      <c r="Q64" s="85">
        <f t="shared" si="38"/>
        <v>54714.294033132996</v>
      </c>
      <c r="R64" s="85">
        <f t="shared" si="38"/>
        <v>56082.151383961318</v>
      </c>
      <c r="S64" s="85">
        <f t="shared" si="38"/>
        <v>57484.205168560358</v>
      </c>
      <c r="T64" s="85">
        <f t="shared" si="38"/>
        <v>58921.310297774362</v>
      </c>
    </row>
    <row r="65" spans="1:20" ht="15" hidden="1" customHeight="1" outlineLevel="1">
      <c r="A65" s="412"/>
      <c r="B65" s="21" t="s">
        <v>375</v>
      </c>
      <c r="C65" s="13"/>
      <c r="D65" s="412"/>
      <c r="E65" s="412"/>
      <c r="F65" s="99"/>
      <c r="G65" s="99"/>
      <c r="H65" s="417"/>
      <c r="I65" s="417"/>
      <c r="J65" s="85"/>
      <c r="K65" s="85">
        <f>K110</f>
        <v>-15035.244142465759</v>
      </c>
      <c r="L65" s="85">
        <f t="shared" ref="L65:T65" si="39">L110</f>
        <v>-51369.542383561668</v>
      </c>
      <c r="M65" s="85">
        <f t="shared" si="39"/>
        <v>-90652.735957808211</v>
      </c>
      <c r="N65" s="85">
        <f>N110</f>
        <v>-111092.59836727893</v>
      </c>
      <c r="O65" s="85">
        <f t="shared" si="39"/>
        <v>-98141.093896650651</v>
      </c>
      <c r="P65" s="85">
        <f t="shared" si="39"/>
        <v>-159719.46460442315</v>
      </c>
      <c r="Q65" s="85">
        <f t="shared" si="39"/>
        <v>-172162.6595335945</v>
      </c>
      <c r="R65" s="85">
        <f t="shared" si="39"/>
        <v>-71294.979715058929</v>
      </c>
      <c r="S65" s="85">
        <f t="shared" si="39"/>
        <v>-131686.35073671024</v>
      </c>
      <c r="T65" s="85">
        <f t="shared" si="39"/>
        <v>20903.783619800117</v>
      </c>
    </row>
    <row r="66" spans="1:20" ht="15" hidden="1" customHeight="1" outlineLevel="1">
      <c r="A66" s="412"/>
      <c r="B66" s="13" t="s">
        <v>393</v>
      </c>
      <c r="C66" s="13"/>
      <c r="D66" s="412"/>
      <c r="E66" s="412"/>
      <c r="F66" s="99"/>
      <c r="G66" s="99"/>
      <c r="H66" s="417"/>
      <c r="I66" s="417"/>
      <c r="J66" s="425"/>
      <c r="K66" s="85">
        <f t="shared" ref="K66:T66" si="40">-(SUM(K38:K40)-SUM(J38:J40))</f>
        <v>-14306.849999999627</v>
      </c>
      <c r="L66" s="85">
        <f t="shared" si="40"/>
        <v>-15022.19250000082</v>
      </c>
      <c r="M66" s="85">
        <f t="shared" si="40"/>
        <v>-15773.302124999464</v>
      </c>
      <c r="N66" s="85">
        <f t="shared" si="40"/>
        <v>-16561.967231250368</v>
      </c>
      <c r="O66" s="85">
        <f t="shared" si="40"/>
        <v>-17390.065592812374</v>
      </c>
      <c r="P66" s="85">
        <f t="shared" si="40"/>
        <v>-18259.568872452714</v>
      </c>
      <c r="Q66" s="85">
        <f t="shared" si="40"/>
        <v>-19172.547316076234</v>
      </c>
      <c r="R66" s="85">
        <f t="shared" si="40"/>
        <v>-20131.17468187958</v>
      </c>
      <c r="S66" s="85">
        <f t="shared" si="40"/>
        <v>-21137.733415973373</v>
      </c>
      <c r="T66" s="85">
        <f t="shared" si="40"/>
        <v>-22194.620086772367</v>
      </c>
    </row>
    <row r="67" spans="1:20" ht="15" hidden="1" customHeight="1" outlineLevel="1">
      <c r="A67" s="412"/>
      <c r="B67" s="13" t="s">
        <v>394</v>
      </c>
      <c r="C67" s="13"/>
      <c r="D67" s="412"/>
      <c r="E67" s="412"/>
      <c r="F67" s="99"/>
      <c r="G67" s="99"/>
      <c r="H67" s="417"/>
      <c r="I67" s="417"/>
      <c r="J67" s="425"/>
      <c r="K67" s="85">
        <f t="shared" ref="K67:T67" si="41">K48-J48</f>
        <v>36434.349999999977</v>
      </c>
      <c r="L67" s="85">
        <f t="shared" si="41"/>
        <v>38256.067500000005</v>
      </c>
      <c r="M67" s="85">
        <f t="shared" si="41"/>
        <v>40168.870875000022</v>
      </c>
      <c r="N67" s="85">
        <f t="shared" si="41"/>
        <v>42177.31441875</v>
      </c>
      <c r="O67" s="85">
        <f t="shared" si="41"/>
        <v>44286.180139687494</v>
      </c>
      <c r="P67" s="85">
        <f t="shared" si="41"/>
        <v>46500.489146671956</v>
      </c>
      <c r="Q67" s="85">
        <f t="shared" si="41"/>
        <v>48825.513604005566</v>
      </c>
      <c r="R67" s="85">
        <f t="shared" si="41"/>
        <v>51266.789284205763</v>
      </c>
      <c r="S67" s="85">
        <f t="shared" si="41"/>
        <v>53830.128748416202</v>
      </c>
      <c r="T67" s="85">
        <f t="shared" si="41"/>
        <v>56521.635185836814</v>
      </c>
    </row>
    <row r="68" spans="1:20" ht="15" hidden="1" customHeight="1" outlineLevel="1">
      <c r="A68" s="412"/>
      <c r="B68" s="13" t="s">
        <v>348</v>
      </c>
      <c r="C68" s="13"/>
      <c r="D68" s="412"/>
      <c r="E68" s="412"/>
      <c r="F68" s="99"/>
      <c r="G68" s="99"/>
      <c r="H68" s="417"/>
      <c r="I68" s="417"/>
      <c r="J68" s="425"/>
      <c r="K68" s="85">
        <f t="shared" ref="K68:T68" si="42">SUM(K62:K67)</f>
        <v>-32696.449057646809</v>
      </c>
      <c r="L68" s="85">
        <f t="shared" si="42"/>
        <v>32413.000159302661</v>
      </c>
      <c r="M68" s="85">
        <f t="shared" si="42"/>
        <v>94901.227312035335</v>
      </c>
      <c r="N68" s="85">
        <f t="shared" si="42"/>
        <v>216106.78374054452</v>
      </c>
      <c r="O68" s="85">
        <f t="shared" si="42"/>
        <v>408740.16388702305</v>
      </c>
      <c r="P68" s="85">
        <f t="shared" si="42"/>
        <v>521437.51691701368</v>
      </c>
      <c r="Q68" s="85">
        <f t="shared" si="42"/>
        <v>772431.24181276758</v>
      </c>
      <c r="R68" s="85">
        <f t="shared" si="42"/>
        <v>1069481.8147174753</v>
      </c>
      <c r="S68" s="85">
        <f t="shared" si="42"/>
        <v>1243248.1201587738</v>
      </c>
      <c r="T68" s="85">
        <f t="shared" si="42"/>
        <v>1541173.9995601929</v>
      </c>
    </row>
    <row r="69" spans="1:20" ht="15" hidden="1" customHeight="1" outlineLevel="1">
      <c r="A69" s="412"/>
      <c r="B69" s="13"/>
      <c r="C69" s="13"/>
      <c r="D69" s="412"/>
      <c r="E69" s="412"/>
      <c r="F69" s="99"/>
      <c r="G69" s="99"/>
      <c r="H69" s="417"/>
      <c r="I69" s="417"/>
      <c r="J69" s="391"/>
      <c r="K69" s="391"/>
      <c r="L69" s="391"/>
      <c r="M69" s="391"/>
      <c r="N69" s="391"/>
      <c r="O69" s="391"/>
      <c r="P69" s="391"/>
      <c r="Q69" s="391"/>
      <c r="R69" s="391"/>
      <c r="S69" s="391"/>
      <c r="T69" s="391"/>
    </row>
    <row r="70" spans="1:20" ht="15" hidden="1" customHeight="1" outlineLevel="1">
      <c r="A70" s="412"/>
      <c r="B70" s="402" t="s">
        <v>347</v>
      </c>
      <c r="C70" s="13"/>
      <c r="D70" s="412"/>
      <c r="E70" s="412"/>
      <c r="F70" s="99"/>
      <c r="G70" s="99"/>
      <c r="H70" s="417"/>
      <c r="I70" s="417"/>
      <c r="J70" s="404"/>
      <c r="K70" s="391"/>
      <c r="L70" s="391"/>
      <c r="M70" s="391"/>
      <c r="N70" s="391"/>
      <c r="O70" s="391"/>
      <c r="P70" s="391"/>
      <c r="Q70" s="391"/>
      <c r="R70" s="391"/>
      <c r="S70" s="391"/>
      <c r="T70" s="391"/>
    </row>
    <row r="71" spans="1:20" ht="15" hidden="1" customHeight="1" outlineLevel="1">
      <c r="A71" s="412"/>
      <c r="B71" s="13" t="s">
        <v>346</v>
      </c>
      <c r="C71" s="13"/>
      <c r="D71" s="412"/>
      <c r="E71" s="412"/>
      <c r="F71" s="99"/>
      <c r="G71" s="99"/>
      <c r="H71" s="417"/>
      <c r="I71" s="417"/>
      <c r="J71" s="391"/>
      <c r="K71" s="91">
        <f>-K121</f>
        <v>-24916.788000000004</v>
      </c>
      <c r="L71" s="91">
        <f t="shared" ref="L71:T71" si="43">-L121</f>
        <v>-32391.824400000005</v>
      </c>
      <c r="M71" s="91">
        <f t="shared" si="43"/>
        <v>-42109.371720000003</v>
      </c>
      <c r="N71" s="91">
        <f t="shared" si="43"/>
        <v>-54321.089518800007</v>
      </c>
      <c r="O71" s="91">
        <f t="shared" si="43"/>
        <v>-70074.205479252021</v>
      </c>
      <c r="P71" s="91">
        <f t="shared" si="43"/>
        <v>-89204.463575087822</v>
      </c>
      <c r="Q71" s="91">
        <f t="shared" si="43"/>
        <v>-109364.67234305768</v>
      </c>
      <c r="R71" s="91">
        <f t="shared" si="43"/>
        <v>-128831.58402012194</v>
      </c>
      <c r="S71" s="91">
        <f t="shared" si="43"/>
        <v>-145708.52152675792</v>
      </c>
      <c r="T71" s="91">
        <f t="shared" si="43"/>
        <v>-157948.03733500559</v>
      </c>
    </row>
    <row r="72" spans="1:20" ht="15" hidden="1" customHeight="1" outlineLevel="1">
      <c r="A72" s="412"/>
      <c r="B72" s="13"/>
      <c r="C72" s="13"/>
      <c r="D72" s="412"/>
      <c r="E72" s="412"/>
      <c r="F72" s="99"/>
      <c r="G72" s="99"/>
      <c r="H72" s="417"/>
      <c r="I72" s="417"/>
      <c r="J72" s="391"/>
      <c r="K72" s="391"/>
      <c r="L72" s="391"/>
      <c r="M72" s="391"/>
      <c r="N72" s="391"/>
      <c r="O72" s="391"/>
      <c r="P72" s="391"/>
      <c r="Q72" s="391"/>
      <c r="R72" s="391"/>
      <c r="S72" s="391"/>
      <c r="T72" s="391"/>
    </row>
    <row r="73" spans="1:20" ht="15" hidden="1" customHeight="1" outlineLevel="1">
      <c r="A73" s="412"/>
      <c r="B73" s="402" t="s">
        <v>345</v>
      </c>
      <c r="C73" s="13"/>
      <c r="D73" s="412"/>
      <c r="E73" s="412"/>
      <c r="F73" s="99"/>
      <c r="G73" s="99"/>
      <c r="H73" s="417"/>
      <c r="I73" s="417"/>
      <c r="J73" s="404"/>
      <c r="K73" s="391"/>
      <c r="L73" s="391"/>
      <c r="M73" s="391"/>
      <c r="N73" s="391"/>
      <c r="O73" s="391"/>
      <c r="P73" s="391"/>
      <c r="Q73" s="391"/>
      <c r="R73" s="391"/>
      <c r="S73" s="391"/>
      <c r="T73" s="391"/>
    </row>
    <row r="74" spans="1:20" ht="15" hidden="1" customHeight="1" outlineLevel="1">
      <c r="A74" s="412"/>
      <c r="B74" s="21" t="s">
        <v>199</v>
      </c>
      <c r="C74" s="13"/>
      <c r="D74" s="412"/>
      <c r="E74" s="412"/>
      <c r="F74" s="99"/>
      <c r="G74" s="99"/>
      <c r="H74" s="417"/>
      <c r="I74" s="417"/>
      <c r="J74" s="404"/>
      <c r="K74" s="91">
        <f>K192</f>
        <v>0</v>
      </c>
      <c r="L74" s="91">
        <f t="shared" ref="L74:T74" si="44">L192</f>
        <v>54061.96580588934</v>
      </c>
      <c r="M74" s="91">
        <f t="shared" si="44"/>
        <v>1291.2859731566641</v>
      </c>
      <c r="N74" s="91">
        <f t="shared" si="44"/>
        <v>-55353.251779046004</v>
      </c>
      <c r="O74" s="91">
        <f t="shared" si="44"/>
        <v>0</v>
      </c>
      <c r="P74" s="91">
        <f t="shared" si="44"/>
        <v>0</v>
      </c>
      <c r="Q74" s="91">
        <f t="shared" si="44"/>
        <v>0</v>
      </c>
      <c r="R74" s="91">
        <f t="shared" si="44"/>
        <v>0</v>
      </c>
      <c r="S74" s="91">
        <f t="shared" si="44"/>
        <v>0</v>
      </c>
      <c r="T74" s="91">
        <f t="shared" si="44"/>
        <v>0</v>
      </c>
    </row>
    <row r="75" spans="1:20" ht="15" hidden="1" customHeight="1" outlineLevel="1">
      <c r="A75" s="412"/>
      <c r="B75" s="21" t="s">
        <v>179</v>
      </c>
      <c r="C75" s="13"/>
      <c r="D75" s="412"/>
      <c r="E75" s="412"/>
      <c r="F75" s="99"/>
      <c r="G75" s="99"/>
      <c r="H75" s="417"/>
      <c r="I75" s="417"/>
      <c r="J75" s="404"/>
      <c r="K75" s="91">
        <f>SUM(K229:K230)</f>
        <v>-137386.76294235321</v>
      </c>
      <c r="L75" s="91">
        <f t="shared" ref="L75:T75" si="45">SUM(L229:L230)</f>
        <v>-54083.141565191996</v>
      </c>
      <c r="M75" s="91">
        <f t="shared" si="45"/>
        <v>-54083.141565191996</v>
      </c>
      <c r="N75" s="91">
        <f t="shared" si="45"/>
        <v>-106432.44244269852</v>
      </c>
      <c r="O75" s="91">
        <f t="shared" si="45"/>
        <v>-188845.92713648407</v>
      </c>
      <c r="P75" s="91">
        <f t="shared" si="45"/>
        <v>0</v>
      </c>
      <c r="Q75" s="91">
        <f t="shared" si="45"/>
        <v>0</v>
      </c>
      <c r="R75" s="91">
        <f t="shared" si="45"/>
        <v>0</v>
      </c>
      <c r="S75" s="91">
        <f t="shared" si="45"/>
        <v>0</v>
      </c>
      <c r="T75" s="91">
        <f t="shared" si="45"/>
        <v>0</v>
      </c>
    </row>
    <row r="76" spans="1:20" ht="15" hidden="1" customHeight="1" outlineLevel="1">
      <c r="A76" s="412"/>
      <c r="B76" s="21" t="s">
        <v>180</v>
      </c>
      <c r="C76" s="13"/>
      <c r="D76" s="412"/>
      <c r="E76" s="412"/>
      <c r="F76" s="99"/>
      <c r="G76" s="99"/>
      <c r="H76" s="417"/>
      <c r="I76" s="417"/>
      <c r="J76" s="404"/>
      <c r="K76" s="91">
        <f>K247</f>
        <v>0</v>
      </c>
      <c r="L76" s="91">
        <f t="shared" ref="L76:T76" si="46">L247</f>
        <v>0</v>
      </c>
      <c r="M76" s="91">
        <f t="shared" si="46"/>
        <v>0</v>
      </c>
      <c r="N76" s="91">
        <f t="shared" si="46"/>
        <v>0</v>
      </c>
      <c r="O76" s="91">
        <f t="shared" si="46"/>
        <v>0</v>
      </c>
      <c r="P76" s="91">
        <f t="shared" si="46"/>
        <v>0</v>
      </c>
      <c r="Q76" s="91">
        <f t="shared" si="46"/>
        <v>0</v>
      </c>
      <c r="R76" s="91">
        <f t="shared" si="46"/>
        <v>0</v>
      </c>
      <c r="S76" s="91">
        <f t="shared" si="46"/>
        <v>0</v>
      </c>
      <c r="T76" s="91">
        <f t="shared" si="46"/>
        <v>0</v>
      </c>
    </row>
    <row r="77" spans="1:20" ht="15" hidden="1" customHeight="1" outlineLevel="1">
      <c r="A77" s="412"/>
      <c r="B77" s="21" t="s">
        <v>70</v>
      </c>
      <c r="C77" s="13"/>
      <c r="D77" s="412"/>
      <c r="E77" s="412"/>
      <c r="F77" s="99"/>
      <c r="G77" s="99"/>
      <c r="H77" s="417"/>
      <c r="I77" s="417"/>
      <c r="J77" s="404"/>
      <c r="K77" s="91">
        <f>SUM(K316:K317)</f>
        <v>0</v>
      </c>
      <c r="L77" s="91">
        <f t="shared" ref="L77:T77" si="47">SUM(L316:L317)</f>
        <v>0</v>
      </c>
      <c r="M77" s="91">
        <f t="shared" si="47"/>
        <v>0</v>
      </c>
      <c r="N77" s="91">
        <f t="shared" si="47"/>
        <v>0</v>
      </c>
      <c r="O77" s="91">
        <f t="shared" si="47"/>
        <v>0</v>
      </c>
      <c r="P77" s="91">
        <f t="shared" si="47"/>
        <v>0</v>
      </c>
      <c r="Q77" s="91">
        <f t="shared" si="47"/>
        <v>0</v>
      </c>
      <c r="R77" s="91">
        <f t="shared" si="47"/>
        <v>0</v>
      </c>
      <c r="S77" s="91">
        <f t="shared" si="47"/>
        <v>0</v>
      </c>
      <c r="T77" s="91">
        <f t="shared" si="47"/>
        <v>0</v>
      </c>
    </row>
    <row r="78" spans="1:20" ht="15" hidden="1" customHeight="1" outlineLevel="1">
      <c r="A78" s="412"/>
      <c r="B78" s="21" t="s">
        <v>71</v>
      </c>
      <c r="C78" s="13"/>
      <c r="D78" s="412"/>
      <c r="E78" s="412"/>
      <c r="F78" s="99"/>
      <c r="G78" s="99"/>
      <c r="H78" s="417"/>
      <c r="I78" s="417"/>
      <c r="J78" s="404"/>
      <c r="K78" s="91">
        <f>K324</f>
        <v>0</v>
      </c>
      <c r="L78" s="91">
        <v>0</v>
      </c>
      <c r="M78" s="91">
        <v>0</v>
      </c>
      <c r="N78" s="91">
        <v>0</v>
      </c>
      <c r="O78" s="91">
        <v>0</v>
      </c>
      <c r="P78" s="91">
        <v>0</v>
      </c>
      <c r="Q78" s="91">
        <v>0</v>
      </c>
      <c r="R78" s="91">
        <v>0</v>
      </c>
      <c r="S78" s="91">
        <v>0</v>
      </c>
      <c r="T78" s="91">
        <v>0</v>
      </c>
    </row>
    <row r="79" spans="1:20" ht="15" hidden="1" customHeight="1" outlineLevel="1">
      <c r="A79" s="412"/>
      <c r="B79" s="21" t="s">
        <v>385</v>
      </c>
      <c r="C79" s="13"/>
      <c r="D79" s="412"/>
      <c r="E79" s="412"/>
      <c r="F79" s="99"/>
      <c r="G79" s="99"/>
      <c r="H79" s="417"/>
      <c r="I79" s="417"/>
      <c r="J79" s="404"/>
      <c r="K79" s="91">
        <f>SUM(K74:K78)</f>
        <v>-137386.76294235321</v>
      </c>
      <c r="L79" s="91">
        <f>SUM(L74:L78)</f>
        <v>-21.175759302655933</v>
      </c>
      <c r="M79" s="91">
        <f>SUM(M74:M78)</f>
        <v>-52791.855592035332</v>
      </c>
      <c r="N79" s="91">
        <f t="shared" ref="N79:T79" si="48">SUM(N74:N78)</f>
        <v>-161785.69422174452</v>
      </c>
      <c r="O79" s="91">
        <f t="shared" si="48"/>
        <v>-188845.92713648407</v>
      </c>
      <c r="P79" s="91">
        <f t="shared" si="48"/>
        <v>0</v>
      </c>
      <c r="Q79" s="91">
        <f t="shared" si="48"/>
        <v>0</v>
      </c>
      <c r="R79" s="91">
        <f t="shared" si="48"/>
        <v>0</v>
      </c>
      <c r="S79" s="91">
        <f t="shared" si="48"/>
        <v>0</v>
      </c>
      <c r="T79" s="91">
        <f t="shared" si="48"/>
        <v>0</v>
      </c>
    </row>
    <row r="80" spans="1:20" ht="15" hidden="1" customHeight="1" outlineLevel="1">
      <c r="A80" s="412"/>
      <c r="B80" s="13"/>
      <c r="C80" s="13"/>
      <c r="D80" s="412"/>
      <c r="E80" s="412"/>
      <c r="F80" s="99"/>
      <c r="G80" s="99"/>
      <c r="H80" s="417"/>
      <c r="I80" s="417"/>
      <c r="J80" s="391"/>
      <c r="K80" s="391"/>
      <c r="L80" s="391"/>
      <c r="M80" s="391"/>
      <c r="N80" s="391"/>
      <c r="O80" s="391"/>
      <c r="P80" s="391"/>
      <c r="Q80" s="391"/>
      <c r="R80" s="391"/>
      <c r="S80" s="391"/>
      <c r="T80" s="391"/>
    </row>
    <row r="81" spans="1:21" ht="15" hidden="1" customHeight="1" outlineLevel="1">
      <c r="A81" s="455"/>
      <c r="B81" s="402" t="s">
        <v>170</v>
      </c>
      <c r="C81" s="455"/>
      <c r="D81" s="455"/>
      <c r="E81" s="412"/>
      <c r="F81" s="99"/>
      <c r="G81" s="99"/>
      <c r="H81" s="417"/>
      <c r="I81" s="417"/>
      <c r="J81" s="391"/>
      <c r="K81" s="391"/>
      <c r="L81" s="391"/>
      <c r="M81" s="391"/>
      <c r="N81" s="391"/>
      <c r="O81" s="391"/>
      <c r="P81" s="391"/>
      <c r="Q81" s="391"/>
      <c r="R81" s="391"/>
      <c r="S81" s="391"/>
      <c r="T81" s="391"/>
    </row>
    <row r="82" spans="1:21" ht="15" hidden="1" customHeight="1" outlineLevel="1">
      <c r="A82" s="412"/>
      <c r="B82" s="456" t="s">
        <v>377</v>
      </c>
      <c r="C82" s="456"/>
      <c r="D82" s="456"/>
      <c r="E82" s="412"/>
      <c r="F82" s="99"/>
      <c r="G82" s="99"/>
      <c r="H82" s="417"/>
      <c r="I82" s="417"/>
      <c r="J82" s="391"/>
      <c r="K82" s="391">
        <f>J36</f>
        <v>200000</v>
      </c>
      <c r="L82" s="391">
        <f t="shared" ref="L82:T82" si="49">K84</f>
        <v>5000</v>
      </c>
      <c r="M82" s="391">
        <f t="shared" si="49"/>
        <v>5000</v>
      </c>
      <c r="N82" s="391">
        <f t="shared" si="49"/>
        <v>5000</v>
      </c>
      <c r="O82" s="391">
        <f t="shared" si="49"/>
        <v>5000</v>
      </c>
      <c r="P82" s="391">
        <f t="shared" si="49"/>
        <v>154820.03127128695</v>
      </c>
      <c r="Q82" s="391">
        <f t="shared" si="49"/>
        <v>587053.08461321285</v>
      </c>
      <c r="R82" s="391">
        <f t="shared" si="49"/>
        <v>1250119.6540829227</v>
      </c>
      <c r="S82" s="391">
        <f t="shared" si="49"/>
        <v>2190769.8847802761</v>
      </c>
      <c r="T82" s="391">
        <f t="shared" si="49"/>
        <v>3288309.4834122919</v>
      </c>
    </row>
    <row r="83" spans="1:21" ht="15" hidden="1" customHeight="1" outlineLevel="1">
      <c r="A83" s="412"/>
      <c r="B83" s="424" t="s">
        <v>72</v>
      </c>
      <c r="C83" s="13"/>
      <c r="D83" s="412"/>
      <c r="E83" s="412"/>
      <c r="F83" s="99"/>
      <c r="G83" s="99"/>
      <c r="H83" s="417"/>
      <c r="I83" s="417"/>
      <c r="J83" s="391"/>
      <c r="K83" s="391">
        <f>K68+K71+K79</f>
        <v>-195000</v>
      </c>
      <c r="L83" s="391">
        <f t="shared" ref="L83:T83" si="50">L68+L71+L79</f>
        <v>0</v>
      </c>
      <c r="M83" s="391">
        <f t="shared" si="50"/>
        <v>0</v>
      </c>
      <c r="N83" s="391">
        <f t="shared" si="50"/>
        <v>0</v>
      </c>
      <c r="O83" s="391">
        <f t="shared" si="50"/>
        <v>149820.03127128695</v>
      </c>
      <c r="P83" s="391">
        <f t="shared" si="50"/>
        <v>432233.05334192584</v>
      </c>
      <c r="Q83" s="391">
        <f t="shared" si="50"/>
        <v>663066.56946970988</v>
      </c>
      <c r="R83" s="391">
        <f t="shared" si="50"/>
        <v>940650.23069735337</v>
      </c>
      <c r="S83" s="391">
        <f t="shared" si="50"/>
        <v>1097539.598632016</v>
      </c>
      <c r="T83" s="391">
        <f t="shared" si="50"/>
        <v>1383225.9622251873</v>
      </c>
    </row>
    <row r="84" spans="1:21" ht="15" hidden="1" customHeight="1" outlineLevel="1">
      <c r="A84" s="412"/>
      <c r="B84" s="456" t="s">
        <v>376</v>
      </c>
      <c r="C84" s="456"/>
      <c r="D84" s="456"/>
      <c r="E84" s="412"/>
      <c r="F84" s="99"/>
      <c r="G84" s="99"/>
      <c r="H84" s="417"/>
      <c r="I84" s="417"/>
      <c r="J84" s="391"/>
      <c r="K84" s="391">
        <f>SUM(K82:K83)</f>
        <v>5000</v>
      </c>
      <c r="L84" s="391">
        <f t="shared" ref="L84:T84" si="51">SUM(L82:L83)</f>
        <v>5000</v>
      </c>
      <c r="M84" s="391">
        <f t="shared" si="51"/>
        <v>5000</v>
      </c>
      <c r="N84" s="391">
        <f>SUM(N82:N83)</f>
        <v>5000</v>
      </c>
      <c r="O84" s="391">
        <f t="shared" si="51"/>
        <v>154820.03127128695</v>
      </c>
      <c r="P84" s="391">
        <f t="shared" si="51"/>
        <v>587053.08461321285</v>
      </c>
      <c r="Q84" s="391">
        <f t="shared" si="51"/>
        <v>1250119.6540829227</v>
      </c>
      <c r="R84" s="391">
        <f t="shared" si="51"/>
        <v>2190769.8847802761</v>
      </c>
      <c r="S84" s="391">
        <f t="shared" si="51"/>
        <v>3288309.4834122919</v>
      </c>
      <c r="T84" s="391">
        <f t="shared" si="51"/>
        <v>4671535.4456374794</v>
      </c>
    </row>
    <row r="85" spans="1:21" ht="15" hidden="1" customHeight="1" outlineLevel="1">
      <c r="A85" s="412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</row>
    <row r="86" spans="1:21" ht="15" customHeight="1" collapsed="1">
      <c r="A86" s="412"/>
      <c r="B86" s="412"/>
      <c r="C86" s="412"/>
      <c r="D86" s="412"/>
      <c r="E86" s="412"/>
      <c r="F86" s="99"/>
      <c r="G86" s="99"/>
      <c r="H86" s="417"/>
      <c r="I86" s="417"/>
      <c r="J86" s="417"/>
      <c r="K86" s="414"/>
      <c r="L86" s="414"/>
      <c r="M86" s="414"/>
      <c r="N86" s="414"/>
      <c r="O86" s="414"/>
      <c r="P86" s="414"/>
      <c r="Q86" s="414"/>
      <c r="R86" s="414"/>
      <c r="S86" s="414"/>
      <c r="T86" s="414"/>
    </row>
    <row r="87" spans="1:21" s="5" customFormat="1" ht="15" customHeight="1">
      <c r="A87" s="5" t="s">
        <v>39</v>
      </c>
      <c r="B87" s="564" t="s">
        <v>38</v>
      </c>
      <c r="C87" s="565"/>
      <c r="D87" s="565"/>
      <c r="E87" s="565"/>
      <c r="F87" s="566"/>
      <c r="G87" s="566"/>
      <c r="H87" s="567"/>
      <c r="I87" s="567"/>
      <c r="J87" s="567"/>
      <c r="K87" s="567"/>
      <c r="L87" s="567"/>
      <c r="M87" s="567"/>
      <c r="N87" s="567"/>
      <c r="O87" s="567"/>
      <c r="P87" s="603"/>
      <c r="Q87" s="604"/>
      <c r="R87" s="604"/>
      <c r="S87" s="604"/>
      <c r="T87" s="604"/>
    </row>
    <row r="88" spans="1:21" s="5" customFormat="1" ht="15" hidden="1" customHeight="1" outlineLevel="1">
      <c r="B88" s="6"/>
      <c r="C88" s="6"/>
      <c r="D88" s="7"/>
      <c r="E88" s="7"/>
      <c r="F88" s="8"/>
      <c r="G88" s="8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1" s="5" customFormat="1" ht="15" hidden="1" customHeight="1" outlineLevel="1" thickBot="1">
      <c r="B89" s="10" t="s">
        <v>8</v>
      </c>
      <c r="C89" s="10"/>
      <c r="D89" s="7"/>
      <c r="E89" s="7"/>
      <c r="F89" s="11"/>
      <c r="G89" s="11"/>
      <c r="H89" s="613">
        <f>I89-1</f>
        <v>2022</v>
      </c>
      <c r="I89" s="613">
        <f>J89-1</f>
        <v>2023</v>
      </c>
      <c r="J89" s="613">
        <f>$J$5</f>
        <v>2024</v>
      </c>
      <c r="K89" s="577">
        <f>$K$5</f>
        <v>2025</v>
      </c>
      <c r="L89" s="577">
        <f>$L$5</f>
        <v>2026</v>
      </c>
      <c r="M89" s="577">
        <f>$M$5</f>
        <v>2027</v>
      </c>
      <c r="N89" s="577">
        <f>$N$5</f>
        <v>2028</v>
      </c>
      <c r="O89" s="577">
        <f>$O$5</f>
        <v>2029</v>
      </c>
      <c r="P89" s="577">
        <f>$P$5</f>
        <v>2030</v>
      </c>
      <c r="Q89" s="577">
        <f>$Q$5</f>
        <v>2031</v>
      </c>
      <c r="R89" s="577">
        <f>$R$5</f>
        <v>2032</v>
      </c>
      <c r="S89" s="577">
        <f>$S$5</f>
        <v>2033</v>
      </c>
      <c r="T89" s="577">
        <f>$T$5</f>
        <v>2034</v>
      </c>
      <c r="U89" s="30"/>
    </row>
    <row r="90" spans="1:21" s="5" customFormat="1" ht="15" hidden="1" customHeight="1" outlineLevel="1">
      <c r="B90" s="10" t="str">
        <f>$B$6</f>
        <v>Model Running: Base Case Drivers</v>
      </c>
      <c r="C90" s="10"/>
      <c r="D90" s="7"/>
      <c r="E90" s="7"/>
      <c r="F90" s="11"/>
      <c r="G90" s="11"/>
      <c r="H90" s="11"/>
      <c r="I90" s="11"/>
      <c r="J90" s="11"/>
      <c r="K90" s="11"/>
      <c r="L90" s="11"/>
      <c r="M90" s="11"/>
      <c r="N90" s="11"/>
      <c r="O90" s="11"/>
      <c r="U90" s="30"/>
    </row>
    <row r="91" spans="1:21" s="5" customFormat="1" ht="15" hidden="1" customHeight="1" outlineLevel="1">
      <c r="B91" s="10"/>
      <c r="C91" s="10"/>
      <c r="D91" s="7"/>
      <c r="E91" s="7"/>
      <c r="F91" s="11"/>
      <c r="G91" s="11"/>
      <c r="H91" s="11"/>
      <c r="I91" s="11"/>
      <c r="J91" s="11"/>
      <c r="K91" s="11"/>
      <c r="L91" s="11"/>
      <c r="M91" s="11"/>
      <c r="N91" s="11"/>
      <c r="O91" s="11"/>
      <c r="U91" s="30"/>
    </row>
    <row r="92" spans="1:21" s="12" customFormat="1" ht="15" hidden="1" customHeight="1" outlineLevel="1">
      <c r="B92" s="13" t="s">
        <v>1</v>
      </c>
      <c r="D92" s="19"/>
      <c r="E92" s="19"/>
      <c r="F92" s="20"/>
      <c r="G92" s="14"/>
      <c r="H92" s="206">
        <v>365</v>
      </c>
      <c r="I92" s="207">
        <v>365</v>
      </c>
      <c r="J92" s="208">
        <v>365</v>
      </c>
      <c r="K92" s="207">
        <v>365</v>
      </c>
      <c r="L92" s="207">
        <v>365</v>
      </c>
      <c r="M92" s="207">
        <v>365</v>
      </c>
      <c r="N92" s="207">
        <v>365</v>
      </c>
      <c r="O92" s="207">
        <v>365</v>
      </c>
      <c r="P92" s="207">
        <v>365</v>
      </c>
      <c r="Q92" s="207">
        <v>365</v>
      </c>
      <c r="R92" s="207">
        <v>365</v>
      </c>
      <c r="S92" s="207">
        <v>365</v>
      </c>
      <c r="T92" s="208">
        <v>365</v>
      </c>
    </row>
    <row r="93" spans="1:21" s="12" customFormat="1" ht="15" hidden="1" customHeight="1" outlineLevel="1">
      <c r="B93" s="13" t="s">
        <v>0</v>
      </c>
      <c r="D93" s="14"/>
      <c r="E93" s="14"/>
      <c r="F93" s="14"/>
      <c r="G93" s="14"/>
      <c r="H93" s="209">
        <v>550832</v>
      </c>
      <c r="I93" s="17">
        <v>766915</v>
      </c>
      <c r="J93" s="210">
        <v>958338</v>
      </c>
      <c r="K93" s="17">
        <f t="shared" ref="K93:T93" si="52">K8</f>
        <v>1245839.4000000001</v>
      </c>
      <c r="L93" s="17">
        <f t="shared" si="52"/>
        <v>1619591.2200000002</v>
      </c>
      <c r="M93" s="17">
        <f t="shared" si="52"/>
        <v>2105468.5860000001</v>
      </c>
      <c r="N93" s="17">
        <f t="shared" si="52"/>
        <v>2716054.4759400003</v>
      </c>
      <c r="O93" s="17">
        <f t="shared" si="52"/>
        <v>3503710.2739626006</v>
      </c>
      <c r="P93" s="17">
        <f t="shared" si="52"/>
        <v>4460223.1787543911</v>
      </c>
      <c r="Q93" s="17">
        <f t="shared" si="52"/>
        <v>5468233.6171528837</v>
      </c>
      <c r="R93" s="17">
        <f t="shared" si="52"/>
        <v>6441579.2010060968</v>
      </c>
      <c r="S93" s="17">
        <f t="shared" si="52"/>
        <v>7285426.0763378954</v>
      </c>
      <c r="T93" s="210">
        <f t="shared" si="52"/>
        <v>7897401.8667502794</v>
      </c>
    </row>
    <row r="94" spans="1:21" s="12" customFormat="1" ht="15" hidden="1" customHeight="1" outlineLevel="1">
      <c r="B94" s="13" t="s">
        <v>32</v>
      </c>
      <c r="D94" s="14"/>
      <c r="E94" s="14"/>
      <c r="F94" s="14"/>
      <c r="G94" s="14"/>
      <c r="H94" s="211">
        <v>116473</v>
      </c>
      <c r="I94" s="154">
        <v>165285</v>
      </c>
      <c r="J94" s="212">
        <v>186448</v>
      </c>
      <c r="K94" s="154">
        <f t="shared" ref="K94:T94" si="53">K9</f>
        <v>236709.48599999992</v>
      </c>
      <c r="L94" s="154">
        <f t="shared" si="53"/>
        <v>307722.33180000004</v>
      </c>
      <c r="M94" s="154">
        <f t="shared" si="53"/>
        <v>400039.03133999999</v>
      </c>
      <c r="N94" s="154">
        <f t="shared" si="53"/>
        <v>516050.35042859986</v>
      </c>
      <c r="O94" s="154">
        <f t="shared" si="53"/>
        <v>665704.95205289405</v>
      </c>
      <c r="P94" s="154">
        <f t="shared" si="53"/>
        <v>847442.40396333393</v>
      </c>
      <c r="Q94" s="154">
        <f t="shared" si="53"/>
        <v>1038964.3872590475</v>
      </c>
      <c r="R94" s="154">
        <f t="shared" si="53"/>
        <v>1223900.0481911581</v>
      </c>
      <c r="S94" s="154">
        <f t="shared" si="53"/>
        <v>1384230.9545041993</v>
      </c>
      <c r="T94" s="212">
        <f t="shared" si="53"/>
        <v>1500506.3546825526</v>
      </c>
    </row>
    <row r="95" spans="1:21" s="12" customFormat="1" ht="15" hidden="1" customHeight="1" outlineLevel="1">
      <c r="C95" s="21"/>
      <c r="D95" s="16"/>
      <c r="E95" s="16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7"/>
      <c r="Q95" s="17"/>
      <c r="R95" s="17"/>
      <c r="S95" s="17"/>
      <c r="T95" s="17"/>
    </row>
    <row r="96" spans="1:21" s="12" customFormat="1" ht="15" hidden="1" customHeight="1" outlineLevel="1">
      <c r="B96" s="15" t="s">
        <v>37</v>
      </c>
      <c r="C96" s="21"/>
      <c r="D96" s="16"/>
      <c r="E96" s="16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7"/>
      <c r="Q96" s="17"/>
      <c r="R96" s="17"/>
      <c r="S96" s="17"/>
      <c r="T96" s="17"/>
    </row>
    <row r="97" spans="2:21" s="12" customFormat="1" ht="15" hidden="1" customHeight="1" outlineLevel="1">
      <c r="C97" s="21" t="s">
        <v>337</v>
      </c>
      <c r="D97" s="14"/>
      <c r="E97" s="14"/>
      <c r="F97" s="20" t="s">
        <v>3</v>
      </c>
      <c r="G97" s="20"/>
      <c r="H97" s="117">
        <f>(H101/H93)*H92</f>
        <v>100.14917433990763</v>
      </c>
      <c r="I97" s="117">
        <f>(I101/I93)*I92</f>
        <v>94.540718332540109</v>
      </c>
      <c r="J97" s="117">
        <f>(J101/J93)*J92</f>
        <v>90.916169451696589</v>
      </c>
      <c r="K97" s="117">
        <f>'Forecasting Assumptions'!G46</f>
        <v>75</v>
      </c>
      <c r="L97" s="117">
        <f>'Forecasting Assumptions'!H46</f>
        <v>70</v>
      </c>
      <c r="M97" s="117">
        <f>'Forecasting Assumptions'!I46</f>
        <v>70</v>
      </c>
      <c r="N97" s="117">
        <f>'Forecasting Assumptions'!J46</f>
        <v>70</v>
      </c>
      <c r="O97" s="117">
        <f>'Forecasting Assumptions'!K46</f>
        <v>65</v>
      </c>
      <c r="P97" s="117">
        <f>'Forecasting Assumptions'!L46</f>
        <v>65</v>
      </c>
      <c r="Q97" s="117">
        <f>'Forecasting Assumptions'!M46</f>
        <v>65</v>
      </c>
      <c r="R97" s="117">
        <f>'Forecasting Assumptions'!N46</f>
        <v>60</v>
      </c>
      <c r="S97" s="117">
        <f>'Forecasting Assumptions'!O46</f>
        <v>60</v>
      </c>
      <c r="T97" s="117">
        <f>'Forecasting Assumptions'!P46</f>
        <v>55</v>
      </c>
      <c r="U97" s="30"/>
    </row>
    <row r="98" spans="2:21" s="12" customFormat="1" ht="15" hidden="1" customHeight="1" outlineLevel="1">
      <c r="C98" s="21" t="s">
        <v>338</v>
      </c>
      <c r="D98" s="14"/>
      <c r="E98" s="14"/>
      <c r="F98" s="20" t="s">
        <v>3</v>
      </c>
      <c r="G98" s="20"/>
      <c r="H98" s="117">
        <f>(H102/H94)*H92</f>
        <v>4.719462879809055</v>
      </c>
      <c r="I98" s="117">
        <f>(I102/I94)*I92</f>
        <v>4.6926520857912095</v>
      </c>
      <c r="J98" s="117">
        <f>(J102/J94)*J92</f>
        <v>5.749619196773363</v>
      </c>
      <c r="K98" s="117">
        <f>'Forecasting Assumptions'!G52</f>
        <v>8</v>
      </c>
      <c r="L98" s="117">
        <f>'Forecasting Assumptions'!H52</f>
        <v>10</v>
      </c>
      <c r="M98" s="117">
        <f>'Forecasting Assumptions'!I52</f>
        <v>10</v>
      </c>
      <c r="N98" s="117">
        <f>'Forecasting Assumptions'!J52</f>
        <v>12</v>
      </c>
      <c r="O98" s="117">
        <f>'Forecasting Assumptions'!K52</f>
        <v>12</v>
      </c>
      <c r="P98" s="117">
        <f>'Forecasting Assumptions'!L52</f>
        <v>14</v>
      </c>
      <c r="Q98" s="117">
        <f>'Forecasting Assumptions'!M52</f>
        <v>14</v>
      </c>
      <c r="R98" s="117">
        <f>'Forecasting Assumptions'!N52</f>
        <v>16</v>
      </c>
      <c r="S98" s="117">
        <f>'Forecasting Assumptions'!O52</f>
        <v>16</v>
      </c>
      <c r="T98" s="117">
        <f>'Forecasting Assumptions'!P52</f>
        <v>18</v>
      </c>
      <c r="U98" s="39"/>
    </row>
    <row r="99" spans="2:21" s="12" customFormat="1" ht="15" hidden="1" customHeight="1" outlineLevel="1">
      <c r="C99" s="21"/>
      <c r="D99" s="14"/>
      <c r="E99" s="14"/>
      <c r="F99" s="22"/>
      <c r="G99" s="22"/>
      <c r="H99" s="118"/>
      <c r="I99" s="117"/>
      <c r="J99" s="117"/>
      <c r="K99" s="117"/>
      <c r="L99" s="117"/>
      <c r="M99" s="117"/>
      <c r="N99" s="117"/>
      <c r="O99" s="117"/>
      <c r="P99" s="119"/>
      <c r="Q99" s="119"/>
      <c r="R99" s="119"/>
      <c r="S99" s="119"/>
      <c r="T99" s="119"/>
      <c r="U99" s="39"/>
    </row>
    <row r="100" spans="2:21" s="12" customFormat="1" ht="15" hidden="1" customHeight="1" outlineLevel="1">
      <c r="B100" s="15" t="s">
        <v>31</v>
      </c>
      <c r="C100" s="23"/>
      <c r="D100" s="16"/>
      <c r="E100" s="16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7"/>
      <c r="Q100" s="17"/>
      <c r="R100" s="17"/>
      <c r="S100" s="17"/>
      <c r="T100" s="17"/>
    </row>
    <row r="101" spans="2:21" s="12" customFormat="1" ht="15" hidden="1" customHeight="1" outlineLevel="1">
      <c r="C101" s="21" t="s">
        <v>2</v>
      </c>
      <c r="D101" s="14"/>
      <c r="E101" s="14"/>
      <c r="F101" s="14"/>
      <c r="G101" s="14"/>
      <c r="H101" s="623">
        <v>151138</v>
      </c>
      <c r="I101" s="623">
        <v>198643</v>
      </c>
      <c r="J101" s="623">
        <v>238708</v>
      </c>
      <c r="K101" s="18">
        <f t="shared" ref="K101:T101" si="54">(K97/K92)*K93</f>
        <v>255994.39726027398</v>
      </c>
      <c r="L101" s="18">
        <f t="shared" si="54"/>
        <v>310606.5353424658</v>
      </c>
      <c r="M101" s="18">
        <f t="shared" si="54"/>
        <v>403788.4959452055</v>
      </c>
      <c r="N101" s="18">
        <f t="shared" si="54"/>
        <v>520887.1597693151</v>
      </c>
      <c r="O101" s="18">
        <f t="shared" si="54"/>
        <v>623948.4049522439</v>
      </c>
      <c r="P101" s="18">
        <f t="shared" si="54"/>
        <v>794286.31950420665</v>
      </c>
      <c r="Q101" s="18">
        <f t="shared" si="54"/>
        <v>973795.02771215735</v>
      </c>
      <c r="R101" s="18">
        <f t="shared" si="54"/>
        <v>1058889.7316722351</v>
      </c>
      <c r="S101" s="18">
        <f t="shared" si="54"/>
        <v>1197604.2865212979</v>
      </c>
      <c r="T101" s="18">
        <f t="shared" si="54"/>
        <v>1190019.4593733298</v>
      </c>
    </row>
    <row r="102" spans="2:21" s="12" customFormat="1" ht="15" hidden="1" customHeight="1" outlineLevel="1">
      <c r="C102" s="21" t="s">
        <v>4</v>
      </c>
      <c r="D102" s="14"/>
      <c r="E102" s="14"/>
      <c r="F102" s="14"/>
      <c r="G102" s="14"/>
      <c r="H102" s="623">
        <v>1506</v>
      </c>
      <c r="I102" s="623">
        <v>2125</v>
      </c>
      <c r="J102" s="623">
        <v>2937</v>
      </c>
      <c r="K102" s="18">
        <f t="shared" ref="K102:T102" si="55">(K98/K92)*K94</f>
        <v>5188.1531178082178</v>
      </c>
      <c r="L102" s="18">
        <f t="shared" si="55"/>
        <v>8430.7488164383576</v>
      </c>
      <c r="M102" s="18">
        <f t="shared" si="55"/>
        <v>10959.973461369862</v>
      </c>
      <c r="N102" s="18">
        <f t="shared" si="55"/>
        <v>16966.038918200542</v>
      </c>
      <c r="O102" s="18">
        <f t="shared" si="55"/>
        <v>21886.190204478706</v>
      </c>
      <c r="P102" s="18">
        <f t="shared" si="55"/>
        <v>32504.640152018288</v>
      </c>
      <c r="Q102" s="18">
        <f t="shared" si="55"/>
        <v>39850.688826374426</v>
      </c>
      <c r="R102" s="18">
        <f t="shared" si="55"/>
        <v>53650.413071393232</v>
      </c>
      <c r="S102" s="18">
        <f t="shared" si="55"/>
        <v>60678.617183745722</v>
      </c>
      <c r="T102" s="18">
        <f t="shared" si="55"/>
        <v>73997.573655577929</v>
      </c>
    </row>
    <row r="103" spans="2:21" s="12" customFormat="1" ht="15" hidden="1" customHeight="1" outlineLevel="1">
      <c r="C103" s="23"/>
      <c r="D103" s="16"/>
      <c r="E103" s="16"/>
      <c r="F103" s="14"/>
      <c r="G103" s="14"/>
      <c r="H103" s="14"/>
      <c r="I103" s="14"/>
      <c r="J103" s="14"/>
      <c r="K103" s="17"/>
      <c r="L103" s="14"/>
      <c r="M103" s="14"/>
      <c r="N103" s="14"/>
      <c r="O103" s="14"/>
      <c r="P103" s="17"/>
      <c r="Q103" s="17"/>
      <c r="R103" s="17"/>
      <c r="S103" s="17"/>
      <c r="T103" s="17"/>
    </row>
    <row r="104" spans="2:21" s="12" customFormat="1" ht="15" hidden="1" customHeight="1" outlineLevel="1">
      <c r="C104" s="23"/>
      <c r="D104" s="16"/>
      <c r="E104" s="16"/>
      <c r="F104" s="14"/>
      <c r="G104" s="14"/>
      <c r="H104" s="14"/>
      <c r="I104" s="14"/>
      <c r="J104" s="14"/>
      <c r="K104" s="17"/>
      <c r="L104" s="14"/>
      <c r="M104" s="14"/>
      <c r="N104" s="14"/>
      <c r="O104" s="14"/>
      <c r="P104" s="17"/>
      <c r="Q104" s="17"/>
      <c r="R104" s="17"/>
      <c r="S104" s="17"/>
      <c r="T104" s="17"/>
    </row>
    <row r="105" spans="2:21" s="12" customFormat="1" ht="15" hidden="1" customHeight="1" outlineLevel="1">
      <c r="B105" s="15" t="s">
        <v>36</v>
      </c>
      <c r="C105" s="23"/>
      <c r="D105" s="16"/>
      <c r="E105" s="16"/>
      <c r="F105" s="14"/>
      <c r="G105" s="14"/>
      <c r="H105" s="14"/>
      <c r="I105" s="14"/>
      <c r="J105" s="14"/>
      <c r="K105" s="17"/>
      <c r="L105" s="14"/>
      <c r="M105" s="14"/>
      <c r="N105" s="14"/>
      <c r="O105" s="14"/>
      <c r="P105" s="17"/>
      <c r="Q105" s="17"/>
      <c r="R105" s="17"/>
      <c r="S105" s="17"/>
      <c r="T105" s="17"/>
    </row>
    <row r="106" spans="2:21" s="12" customFormat="1" ht="15" hidden="1" customHeight="1" outlineLevel="1">
      <c r="C106" s="21" t="s">
        <v>33</v>
      </c>
      <c r="D106" s="14"/>
      <c r="E106" s="14"/>
      <c r="F106" s="14"/>
      <c r="G106" s="14"/>
      <c r="H106" s="18">
        <f>H101</f>
        <v>151138</v>
      </c>
      <c r="I106" s="18">
        <f t="shared" ref="I106:T106" si="56">I101</f>
        <v>198643</v>
      </c>
      <c r="J106" s="18">
        <f t="shared" si="56"/>
        <v>238708</v>
      </c>
      <c r="K106" s="18">
        <f t="shared" si="56"/>
        <v>255994.39726027398</v>
      </c>
      <c r="L106" s="18">
        <f t="shared" si="56"/>
        <v>310606.5353424658</v>
      </c>
      <c r="M106" s="18">
        <f t="shared" si="56"/>
        <v>403788.4959452055</v>
      </c>
      <c r="N106" s="18">
        <f t="shared" si="56"/>
        <v>520887.1597693151</v>
      </c>
      <c r="O106" s="18">
        <f t="shared" si="56"/>
        <v>623948.4049522439</v>
      </c>
      <c r="P106" s="18">
        <f t="shared" si="56"/>
        <v>794286.31950420665</v>
      </c>
      <c r="Q106" s="18">
        <f t="shared" si="56"/>
        <v>973795.02771215735</v>
      </c>
      <c r="R106" s="18">
        <f t="shared" si="56"/>
        <v>1058889.7316722351</v>
      </c>
      <c r="S106" s="18">
        <f t="shared" si="56"/>
        <v>1197604.2865212979</v>
      </c>
      <c r="T106" s="18">
        <f t="shared" si="56"/>
        <v>1190019.4593733298</v>
      </c>
    </row>
    <row r="107" spans="2:21" s="12" customFormat="1" ht="15" hidden="1" customHeight="1" outlineLevel="1">
      <c r="C107" s="21" t="s">
        <v>34</v>
      </c>
      <c r="D107" s="14"/>
      <c r="E107" s="14"/>
      <c r="F107" s="14"/>
      <c r="G107" s="14"/>
      <c r="H107" s="41">
        <f>SUM(H102)</f>
        <v>1506</v>
      </c>
      <c r="I107" s="41">
        <f t="shared" ref="I107" si="57">SUM(I102)</f>
        <v>2125</v>
      </c>
      <c r="J107" s="41">
        <f>SUM(J102)</f>
        <v>2937</v>
      </c>
      <c r="K107" s="41">
        <f t="shared" ref="K107:S107" si="58">SUM(K102)</f>
        <v>5188.1531178082178</v>
      </c>
      <c r="L107" s="41">
        <f t="shared" si="58"/>
        <v>8430.7488164383576</v>
      </c>
      <c r="M107" s="41">
        <f t="shared" si="58"/>
        <v>10959.973461369862</v>
      </c>
      <c r="N107" s="41">
        <f t="shared" si="58"/>
        <v>16966.038918200542</v>
      </c>
      <c r="O107" s="41">
        <f t="shared" si="58"/>
        <v>21886.190204478706</v>
      </c>
      <c r="P107" s="41">
        <f t="shared" si="58"/>
        <v>32504.640152018288</v>
      </c>
      <c r="Q107" s="41">
        <f t="shared" si="58"/>
        <v>39850.688826374426</v>
      </c>
      <c r="R107" s="41">
        <f t="shared" si="58"/>
        <v>53650.413071393232</v>
      </c>
      <c r="S107" s="41">
        <f t="shared" si="58"/>
        <v>60678.617183745722</v>
      </c>
      <c r="T107" s="41">
        <f>SUM(T102)</f>
        <v>73997.573655577929</v>
      </c>
    </row>
    <row r="108" spans="2:21" s="12" customFormat="1" ht="15" hidden="1" customHeight="1" outlineLevel="1">
      <c r="C108" s="21" t="s">
        <v>5</v>
      </c>
      <c r="D108" s="14"/>
      <c r="E108" s="14"/>
      <c r="F108" s="14"/>
      <c r="G108" s="14"/>
      <c r="H108" s="18">
        <f>H106-H107</f>
        <v>149632</v>
      </c>
      <c r="I108" s="18">
        <f>I106-I107</f>
        <v>196518</v>
      </c>
      <c r="J108" s="18">
        <f t="shared" ref="J108:T108" si="59">J106-J107</f>
        <v>235771</v>
      </c>
      <c r="K108" s="18">
        <f>K106-K107</f>
        <v>250806.24414246576</v>
      </c>
      <c r="L108" s="18">
        <f t="shared" si="59"/>
        <v>302175.78652602743</v>
      </c>
      <c r="M108" s="18">
        <f t="shared" si="59"/>
        <v>392828.52248383564</v>
      </c>
      <c r="N108" s="18">
        <f t="shared" si="59"/>
        <v>503921.12085111457</v>
      </c>
      <c r="O108" s="18">
        <f t="shared" si="59"/>
        <v>602062.21474776522</v>
      </c>
      <c r="P108" s="18">
        <f t="shared" si="59"/>
        <v>761781.67935218837</v>
      </c>
      <c r="Q108" s="18">
        <f t="shared" si="59"/>
        <v>933944.33888578287</v>
      </c>
      <c r="R108" s="18">
        <f t="shared" si="59"/>
        <v>1005239.3186008418</v>
      </c>
      <c r="S108" s="18">
        <f t="shared" si="59"/>
        <v>1136925.669337552</v>
      </c>
      <c r="T108" s="18">
        <f t="shared" si="59"/>
        <v>1116021.8857177519</v>
      </c>
    </row>
    <row r="109" spans="2:21" s="12" customFormat="1" ht="15" hidden="1" customHeight="1" outlineLevel="1">
      <c r="C109" s="23"/>
      <c r="D109" s="16"/>
      <c r="E109" s="16"/>
      <c r="F109" s="14"/>
      <c r="G109" s="14"/>
      <c r="H109" s="14"/>
      <c r="I109" s="14"/>
      <c r="J109" s="14"/>
      <c r="K109" s="17"/>
      <c r="L109" s="14"/>
      <c r="M109" s="14"/>
      <c r="N109" s="14"/>
      <c r="O109" s="14"/>
      <c r="P109" s="17"/>
      <c r="Q109" s="17"/>
      <c r="R109" s="17"/>
      <c r="S109" s="17"/>
      <c r="T109" s="17"/>
    </row>
    <row r="110" spans="2:21" s="12" customFormat="1" ht="15" hidden="1" customHeight="1" outlineLevel="1" thickBot="1">
      <c r="C110" s="23" t="s">
        <v>35</v>
      </c>
      <c r="D110" s="16"/>
      <c r="E110" s="16"/>
      <c r="F110" s="16"/>
      <c r="G110" s="16"/>
      <c r="H110" s="16"/>
      <c r="I110" s="135"/>
      <c r="J110" s="135"/>
      <c r="K110" s="120">
        <f>J108-K108</f>
        <v>-15035.244142465759</v>
      </c>
      <c r="L110" s="120">
        <f t="shared" ref="L110:T110" si="60">K108-L108</f>
        <v>-51369.542383561668</v>
      </c>
      <c r="M110" s="120">
        <f t="shared" si="60"/>
        <v>-90652.735957808211</v>
      </c>
      <c r="N110" s="120">
        <f t="shared" si="60"/>
        <v>-111092.59836727893</v>
      </c>
      <c r="O110" s="120">
        <f t="shared" si="60"/>
        <v>-98141.093896650651</v>
      </c>
      <c r="P110" s="120">
        <f t="shared" si="60"/>
        <v>-159719.46460442315</v>
      </c>
      <c r="Q110" s="120">
        <f t="shared" si="60"/>
        <v>-172162.6595335945</v>
      </c>
      <c r="R110" s="120">
        <f t="shared" si="60"/>
        <v>-71294.979715058929</v>
      </c>
      <c r="S110" s="120">
        <f t="shared" si="60"/>
        <v>-131686.35073671024</v>
      </c>
      <c r="T110" s="120">
        <f t="shared" si="60"/>
        <v>20903.783619800117</v>
      </c>
    </row>
    <row r="111" spans="2:21" s="12" customFormat="1" ht="15" hidden="1" customHeight="1" outlineLevel="1"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</row>
    <row r="112" spans="2:21" s="12" customFormat="1" ht="15" customHeight="1" collapsed="1">
      <c r="B112" s="13"/>
      <c r="D112" s="19"/>
      <c r="E112" s="19"/>
      <c r="F112" s="20"/>
      <c r="G112" s="14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</row>
    <row r="113" spans="1:21" s="5" customFormat="1" ht="15" customHeight="1">
      <c r="A113" s="5" t="s">
        <v>39</v>
      </c>
      <c r="B113" s="564" t="s">
        <v>334</v>
      </c>
      <c r="C113" s="565"/>
      <c r="D113" s="565"/>
      <c r="E113" s="565"/>
      <c r="F113" s="566"/>
      <c r="G113" s="566"/>
      <c r="H113" s="567"/>
      <c r="I113" s="567"/>
      <c r="J113" s="567"/>
      <c r="K113" s="567"/>
      <c r="L113" s="567"/>
      <c r="M113" s="567"/>
      <c r="N113" s="567"/>
      <c r="O113" s="567"/>
      <c r="P113" s="603"/>
      <c r="Q113" s="604"/>
      <c r="R113" s="604"/>
      <c r="S113" s="604"/>
      <c r="T113" s="604"/>
      <c r="U113" s="30"/>
    </row>
    <row r="114" spans="1:21" s="5" customFormat="1" ht="15" hidden="1" customHeight="1" outlineLevel="1">
      <c r="B114" s="6"/>
      <c r="C114" s="6"/>
      <c r="D114" s="7"/>
      <c r="E114" s="7"/>
      <c r="F114" s="8"/>
      <c r="G114" s="8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30"/>
    </row>
    <row r="115" spans="1:21" s="5" customFormat="1" ht="15" hidden="1" customHeight="1" outlineLevel="1" thickBot="1">
      <c r="B115" s="10" t="s">
        <v>8</v>
      </c>
      <c r="C115" s="10"/>
      <c r="D115" s="7"/>
      <c r="E115" s="7"/>
      <c r="F115" s="11"/>
      <c r="G115" s="11"/>
      <c r="H115" s="11"/>
      <c r="I115" s="11"/>
      <c r="J115" s="613">
        <f>$J$5</f>
        <v>2024</v>
      </c>
      <c r="K115" s="577">
        <f>$K$5</f>
        <v>2025</v>
      </c>
      <c r="L115" s="577">
        <f>$L$5</f>
        <v>2026</v>
      </c>
      <c r="M115" s="577">
        <f>$M$5</f>
        <v>2027</v>
      </c>
      <c r="N115" s="577">
        <f>$N$5</f>
        <v>2028</v>
      </c>
      <c r="O115" s="577">
        <f>$O$5</f>
        <v>2029</v>
      </c>
      <c r="P115" s="577">
        <f>$P$5</f>
        <v>2030</v>
      </c>
      <c r="Q115" s="577">
        <f>$Q$5</f>
        <v>2031</v>
      </c>
      <c r="R115" s="577">
        <f>$R$5</f>
        <v>2032</v>
      </c>
      <c r="S115" s="577">
        <f>$S$5</f>
        <v>2033</v>
      </c>
      <c r="T115" s="577">
        <f>$T$5</f>
        <v>2034</v>
      </c>
    </row>
    <row r="116" spans="1:21" s="5" customFormat="1" ht="15" hidden="1" customHeight="1" outlineLevel="1">
      <c r="B116" s="10" t="str">
        <f>$B$6</f>
        <v>Model Running: Base Case Drivers</v>
      </c>
      <c r="C116" s="10"/>
      <c r="D116" s="7"/>
      <c r="E116" s="7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30"/>
    </row>
    <row r="117" spans="1:21" s="5" customFormat="1" ht="15" hidden="1" customHeight="1" outlineLevel="1">
      <c r="B117" s="10"/>
      <c r="C117" s="10"/>
      <c r="D117" s="7"/>
      <c r="E117" s="7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30"/>
    </row>
    <row r="118" spans="1:21" s="5" customFormat="1" ht="15" hidden="1" customHeight="1" outlineLevel="1">
      <c r="B118" s="402" t="s">
        <v>335</v>
      </c>
      <c r="C118" s="402"/>
      <c r="D118" s="403"/>
      <c r="E118" s="7"/>
      <c r="F118" s="11"/>
      <c r="G118" s="11"/>
      <c r="H118" s="11"/>
      <c r="I118" s="11"/>
      <c r="J118" s="251">
        <f>IS!D27</f>
        <v>27012</v>
      </c>
      <c r="K118" s="478">
        <f t="shared" ref="K118:T118" si="61">K8*K119</f>
        <v>24916.788000000004</v>
      </c>
      <c r="L118" s="479">
        <f t="shared" si="61"/>
        <v>32391.824400000005</v>
      </c>
      <c r="M118" s="479">
        <f t="shared" si="61"/>
        <v>42109.371720000003</v>
      </c>
      <c r="N118" s="479">
        <f t="shared" si="61"/>
        <v>54321.089518800007</v>
      </c>
      <c r="O118" s="479">
        <f t="shared" si="61"/>
        <v>70074.205479252021</v>
      </c>
      <c r="P118" s="479">
        <f t="shared" si="61"/>
        <v>89204.463575087822</v>
      </c>
      <c r="Q118" s="479">
        <f t="shared" si="61"/>
        <v>109364.67234305768</v>
      </c>
      <c r="R118" s="479">
        <f t="shared" si="61"/>
        <v>128831.58402012194</v>
      </c>
      <c r="S118" s="479">
        <f t="shared" si="61"/>
        <v>145708.52152675792</v>
      </c>
      <c r="T118" s="480">
        <f t="shared" si="61"/>
        <v>157948.03733500559</v>
      </c>
      <c r="U118" s="30"/>
    </row>
    <row r="119" spans="1:21" s="5" customFormat="1" ht="15" hidden="1" customHeight="1" outlineLevel="1">
      <c r="B119" s="13"/>
      <c r="C119" s="13" t="s">
        <v>332</v>
      </c>
      <c r="D119" s="14"/>
      <c r="E119" s="7"/>
      <c r="F119" s="11"/>
      <c r="G119" s="11"/>
      <c r="H119" s="11"/>
      <c r="I119" s="11"/>
      <c r="J119" s="427"/>
      <c r="K119" s="407">
        <f>'Forecasting Assumptions'!G33</f>
        <v>0.02</v>
      </c>
      <c r="L119" s="408">
        <f>'Forecasting Assumptions'!H33</f>
        <v>0.02</v>
      </c>
      <c r="M119" s="408">
        <f>'Forecasting Assumptions'!I33</f>
        <v>0.02</v>
      </c>
      <c r="N119" s="408">
        <f>'Forecasting Assumptions'!J33</f>
        <v>0.02</v>
      </c>
      <c r="O119" s="408">
        <f>'Forecasting Assumptions'!K33</f>
        <v>0.02</v>
      </c>
      <c r="P119" s="408">
        <f>'Forecasting Assumptions'!L33</f>
        <v>0.02</v>
      </c>
      <c r="Q119" s="408">
        <f>'Forecasting Assumptions'!M33</f>
        <v>0.02</v>
      </c>
      <c r="R119" s="408">
        <f>'Forecasting Assumptions'!N33</f>
        <v>0.02</v>
      </c>
      <c r="S119" s="408">
        <f>'Forecasting Assumptions'!O33</f>
        <v>0.02</v>
      </c>
      <c r="T119" s="409">
        <f>'Forecasting Assumptions'!P33</f>
        <v>0.02</v>
      </c>
      <c r="U119" s="30"/>
    </row>
    <row r="120" spans="1:21" s="5" customFormat="1" ht="15" hidden="1" customHeight="1" outlineLevel="1">
      <c r="B120" s="10"/>
      <c r="C120" s="10"/>
      <c r="D120" s="7"/>
      <c r="E120" s="7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30"/>
    </row>
    <row r="121" spans="1:21" s="5" customFormat="1" ht="15" hidden="1" customHeight="1" outlineLevel="1">
      <c r="B121" s="402" t="s">
        <v>24</v>
      </c>
      <c r="C121" s="402"/>
      <c r="D121" s="7"/>
      <c r="E121" s="7"/>
      <c r="F121" s="11"/>
      <c r="G121" s="11"/>
      <c r="H121" s="11"/>
      <c r="I121" s="11"/>
      <c r="J121" s="11"/>
      <c r="K121" s="478">
        <f t="shared" ref="K121:T121" si="62">K8*K122</f>
        <v>24916.788000000004</v>
      </c>
      <c r="L121" s="479">
        <f t="shared" si="62"/>
        <v>32391.824400000005</v>
      </c>
      <c r="M121" s="479">
        <f t="shared" si="62"/>
        <v>42109.371720000003</v>
      </c>
      <c r="N121" s="479">
        <f t="shared" si="62"/>
        <v>54321.089518800007</v>
      </c>
      <c r="O121" s="479">
        <f t="shared" si="62"/>
        <v>70074.205479252021</v>
      </c>
      <c r="P121" s="479">
        <f t="shared" si="62"/>
        <v>89204.463575087822</v>
      </c>
      <c r="Q121" s="479">
        <f t="shared" si="62"/>
        <v>109364.67234305768</v>
      </c>
      <c r="R121" s="479">
        <f t="shared" si="62"/>
        <v>128831.58402012194</v>
      </c>
      <c r="S121" s="479">
        <f t="shared" si="62"/>
        <v>145708.52152675792</v>
      </c>
      <c r="T121" s="480">
        <f t="shared" si="62"/>
        <v>157948.03733500559</v>
      </c>
      <c r="U121" s="30"/>
    </row>
    <row r="122" spans="1:21" s="5" customFormat="1" ht="15" hidden="1" customHeight="1" outlineLevel="1">
      <c r="B122" s="21"/>
      <c r="C122" s="13" t="s">
        <v>332</v>
      </c>
      <c r="D122" s="14"/>
      <c r="E122" s="7"/>
      <c r="F122" s="11"/>
      <c r="G122" s="11"/>
      <c r="H122" s="11"/>
      <c r="I122" s="11"/>
      <c r="J122" s="11"/>
      <c r="K122" s="407">
        <f>'Forecasting Assumptions'!G71</f>
        <v>0.02</v>
      </c>
      <c r="L122" s="408">
        <f>'Forecasting Assumptions'!H71</f>
        <v>0.02</v>
      </c>
      <c r="M122" s="408">
        <f>'Forecasting Assumptions'!I71</f>
        <v>0.02</v>
      </c>
      <c r="N122" s="408">
        <f>'Forecasting Assumptions'!J71</f>
        <v>0.02</v>
      </c>
      <c r="O122" s="408">
        <f>'Forecasting Assumptions'!K71</f>
        <v>0.02</v>
      </c>
      <c r="P122" s="408">
        <f>'Forecasting Assumptions'!L71</f>
        <v>0.02</v>
      </c>
      <c r="Q122" s="408">
        <f>'Forecasting Assumptions'!M71</f>
        <v>0.02</v>
      </c>
      <c r="R122" s="408">
        <f>'Forecasting Assumptions'!N71</f>
        <v>0.02</v>
      </c>
      <c r="S122" s="408">
        <f>'Forecasting Assumptions'!O71</f>
        <v>0.02</v>
      </c>
      <c r="T122" s="409">
        <f>'Forecasting Assumptions'!P71</f>
        <v>0.02</v>
      </c>
      <c r="U122" s="30"/>
    </row>
    <row r="123" spans="1:21" s="5" customFormat="1" ht="15" hidden="1" customHeight="1" outlineLevel="1">
      <c r="B123" s="24"/>
      <c r="C123" s="24"/>
      <c r="D123" s="25"/>
      <c r="E123" s="25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33"/>
      <c r="Q123" s="33"/>
      <c r="R123" s="33"/>
      <c r="S123" s="33"/>
      <c r="T123" s="33"/>
    </row>
    <row r="124" spans="1:21" s="5" customFormat="1" ht="15" customHeight="1" collapsed="1">
      <c r="B124" s="10"/>
      <c r="C124" s="10"/>
      <c r="D124" s="7"/>
      <c r="E124" s="7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28"/>
      <c r="Q124" s="28"/>
      <c r="R124" s="28"/>
      <c r="S124" s="28"/>
      <c r="T124" s="28"/>
    </row>
    <row r="125" spans="1:21" s="5" customFormat="1" ht="15" customHeight="1">
      <c r="A125" s="5" t="s">
        <v>39</v>
      </c>
      <c r="B125" s="564" t="s">
        <v>23</v>
      </c>
      <c r="C125" s="565"/>
      <c r="D125" s="565"/>
      <c r="E125" s="565"/>
      <c r="F125" s="566"/>
      <c r="G125" s="566"/>
      <c r="H125" s="567"/>
      <c r="I125" s="567"/>
      <c r="J125" s="567"/>
      <c r="K125" s="567"/>
      <c r="L125" s="567"/>
      <c r="M125" s="567"/>
      <c r="N125" s="567"/>
      <c r="O125" s="567"/>
      <c r="P125" s="603"/>
      <c r="Q125" s="604"/>
      <c r="R125" s="604"/>
      <c r="S125" s="604"/>
      <c r="T125" s="604"/>
    </row>
    <row r="126" spans="1:21" s="5" customFormat="1" ht="15" hidden="1" customHeight="1" outlineLevel="1">
      <c r="B126" s="6"/>
      <c r="C126" s="6"/>
      <c r="D126" s="7"/>
      <c r="E126" s="7"/>
      <c r="F126" s="8"/>
      <c r="G126" s="8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</row>
    <row r="127" spans="1:21" s="5" customFormat="1" ht="15" hidden="1" customHeight="1" outlineLevel="1" thickBot="1">
      <c r="B127" s="10" t="s">
        <v>8</v>
      </c>
      <c r="C127" s="10"/>
      <c r="D127" s="7"/>
      <c r="E127" s="7"/>
      <c r="F127" s="11"/>
      <c r="G127" s="11"/>
      <c r="H127" s="9"/>
      <c r="I127" s="11"/>
      <c r="J127" s="613">
        <f>$J$5</f>
        <v>2024</v>
      </c>
      <c r="K127" s="577">
        <f>$K$5</f>
        <v>2025</v>
      </c>
      <c r="L127" s="577">
        <f>$L$5</f>
        <v>2026</v>
      </c>
      <c r="M127" s="577">
        <f>$M$5</f>
        <v>2027</v>
      </c>
      <c r="N127" s="577">
        <f>$N$5</f>
        <v>2028</v>
      </c>
      <c r="O127" s="577">
        <f>$O$5</f>
        <v>2029</v>
      </c>
      <c r="P127" s="577">
        <f>$P$5</f>
        <v>2030</v>
      </c>
      <c r="Q127" s="577">
        <f>$Q$5</f>
        <v>2031</v>
      </c>
      <c r="R127" s="577">
        <f>$R$5</f>
        <v>2032</v>
      </c>
      <c r="S127" s="577">
        <f>$S$5</f>
        <v>2033</v>
      </c>
      <c r="T127" s="577">
        <f>$T$5</f>
        <v>2034</v>
      </c>
      <c r="U127" s="30"/>
    </row>
    <row r="128" spans="1:21" s="5" customFormat="1" ht="15" hidden="1" customHeight="1" outlineLevel="1">
      <c r="B128" s="10" t="str">
        <f>$B$6</f>
        <v>Model Running: Base Case Drivers</v>
      </c>
      <c r="C128" s="10"/>
      <c r="D128" s="7"/>
      <c r="E128" s="7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28"/>
      <c r="Q128" s="28"/>
      <c r="R128" s="28"/>
      <c r="S128" s="28"/>
      <c r="T128" s="28"/>
    </row>
    <row r="129" spans="1:21" s="5" customFormat="1" ht="15" hidden="1" customHeight="1" outlineLevel="1">
      <c r="B129" s="10"/>
      <c r="C129" s="10"/>
      <c r="D129" s="7"/>
      <c r="E129" s="7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28"/>
      <c r="Q129" s="28"/>
      <c r="R129" s="28"/>
      <c r="S129" s="28"/>
      <c r="T129" s="28"/>
    </row>
    <row r="130" spans="1:21" s="5" customFormat="1" ht="15" hidden="1" customHeight="1" outlineLevel="1">
      <c r="B130" s="21" t="s">
        <v>24</v>
      </c>
      <c r="D130" s="7"/>
      <c r="E130" s="7"/>
      <c r="F130" s="11"/>
      <c r="G130" s="11"/>
      <c r="H130" s="11"/>
      <c r="I130" s="11"/>
      <c r="J130" s="11"/>
      <c r="K130" s="426">
        <f>K121</f>
        <v>24916.788000000004</v>
      </c>
      <c r="L130" s="246">
        <f t="shared" ref="L130:T130" si="63">L121</f>
        <v>32391.824400000005</v>
      </c>
      <c r="M130" s="246">
        <f t="shared" si="63"/>
        <v>42109.371720000003</v>
      </c>
      <c r="N130" s="246">
        <f t="shared" si="63"/>
        <v>54321.089518800007</v>
      </c>
      <c r="O130" s="246">
        <f t="shared" si="63"/>
        <v>70074.205479252021</v>
      </c>
      <c r="P130" s="246">
        <f t="shared" si="63"/>
        <v>89204.463575087822</v>
      </c>
      <c r="Q130" s="246">
        <f t="shared" si="63"/>
        <v>109364.67234305768</v>
      </c>
      <c r="R130" s="246">
        <f t="shared" si="63"/>
        <v>128831.58402012194</v>
      </c>
      <c r="S130" s="246">
        <f t="shared" si="63"/>
        <v>145708.52152675792</v>
      </c>
      <c r="T130" s="246">
        <f t="shared" si="63"/>
        <v>157948.03733500559</v>
      </c>
      <c r="U130" s="30"/>
    </row>
    <row r="131" spans="1:21" s="5" customFormat="1" ht="15" hidden="1" customHeight="1" outlineLevel="1">
      <c r="B131" s="13"/>
      <c r="C131" s="217"/>
      <c r="D131" s="217"/>
      <c r="E131" s="217"/>
      <c r="F131" s="40"/>
      <c r="G131" s="11"/>
      <c r="H131" s="11"/>
      <c r="I131" s="11"/>
      <c r="J131" s="11"/>
      <c r="K131" s="11"/>
      <c r="L131" s="11"/>
      <c r="M131" s="11"/>
      <c r="N131" s="11"/>
      <c r="O131" s="11"/>
      <c r="P131" s="38"/>
      <c r="Q131" s="38"/>
      <c r="R131" s="38"/>
      <c r="S131" s="38"/>
      <c r="T131" s="38"/>
      <c r="U131" s="30"/>
    </row>
    <row r="132" spans="1:21" s="5" customFormat="1" ht="15" hidden="1" customHeight="1" outlineLevel="1">
      <c r="B132" s="245" t="s">
        <v>359</v>
      </c>
      <c r="D132" s="7"/>
      <c r="E132" s="7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28"/>
      <c r="Q132" s="28"/>
      <c r="R132" s="28"/>
      <c r="S132" s="28"/>
      <c r="T132" s="28"/>
      <c r="U132" s="31"/>
    </row>
    <row r="133" spans="1:21" s="5" customFormat="1" ht="15" hidden="1" customHeight="1" outlineLevel="1">
      <c r="B133" s="21"/>
      <c r="C133" s="21" t="s">
        <v>6</v>
      </c>
      <c r="D133" s="7"/>
      <c r="E133" s="7"/>
      <c r="F133" s="11"/>
      <c r="G133" s="11"/>
      <c r="H133" s="11"/>
      <c r="I133" s="18"/>
      <c r="J133" s="43"/>
      <c r="K133" s="43">
        <f>J136</f>
        <v>42362</v>
      </c>
      <c r="L133" s="43">
        <f t="shared" ref="L133:T133" si="64">K136</f>
        <v>42362</v>
      </c>
      <c r="M133" s="43">
        <f t="shared" si="64"/>
        <v>42362.000000000007</v>
      </c>
      <c r="N133" s="43">
        <f t="shared" si="64"/>
        <v>42362.000000000007</v>
      </c>
      <c r="O133" s="43">
        <f t="shared" si="64"/>
        <v>42362.000000000007</v>
      </c>
      <c r="P133" s="43">
        <f t="shared" si="64"/>
        <v>42362.000000000015</v>
      </c>
      <c r="Q133" s="43">
        <f t="shared" si="64"/>
        <v>42362.000000000015</v>
      </c>
      <c r="R133" s="43">
        <f t="shared" si="64"/>
        <v>42362.000000000015</v>
      </c>
      <c r="S133" s="43">
        <f t="shared" si="64"/>
        <v>42362.000000000015</v>
      </c>
      <c r="T133" s="43">
        <f t="shared" si="64"/>
        <v>42362</v>
      </c>
      <c r="U133" s="31"/>
    </row>
    <row r="134" spans="1:21" s="5" customFormat="1" ht="15" hidden="1" customHeight="1" outlineLevel="1">
      <c r="B134" s="21"/>
      <c r="C134" s="21" t="s">
        <v>24</v>
      </c>
      <c r="D134" s="7"/>
      <c r="E134" s="7"/>
      <c r="F134" s="11"/>
      <c r="G134" s="11"/>
      <c r="H134" s="11"/>
      <c r="I134" s="18"/>
      <c r="J134" s="201"/>
      <c r="K134" s="201">
        <f t="shared" ref="K134:T134" si="65">K121</f>
        <v>24916.788000000004</v>
      </c>
      <c r="L134" s="201">
        <f t="shared" si="65"/>
        <v>32391.824400000005</v>
      </c>
      <c r="M134" s="201">
        <f t="shared" si="65"/>
        <v>42109.371720000003</v>
      </c>
      <c r="N134" s="201">
        <f t="shared" si="65"/>
        <v>54321.089518800007</v>
      </c>
      <c r="O134" s="201">
        <f t="shared" si="65"/>
        <v>70074.205479252021</v>
      </c>
      <c r="P134" s="201">
        <f t="shared" si="65"/>
        <v>89204.463575087822</v>
      </c>
      <c r="Q134" s="201">
        <f t="shared" si="65"/>
        <v>109364.67234305768</v>
      </c>
      <c r="R134" s="201">
        <f t="shared" si="65"/>
        <v>128831.58402012194</v>
      </c>
      <c r="S134" s="201">
        <f t="shared" si="65"/>
        <v>145708.52152675792</v>
      </c>
      <c r="T134" s="201">
        <f t="shared" si="65"/>
        <v>157948.03733500559</v>
      </c>
      <c r="U134" s="31"/>
    </row>
    <row r="135" spans="1:21" s="5" customFormat="1" ht="15" hidden="1" customHeight="1" outlineLevel="1">
      <c r="B135" s="21"/>
      <c r="C135" s="21" t="s">
        <v>25</v>
      </c>
      <c r="D135" s="7"/>
      <c r="E135" s="7"/>
      <c r="F135" s="11"/>
      <c r="G135" s="11"/>
      <c r="H135" s="11"/>
      <c r="I135" s="18"/>
      <c r="J135" s="42"/>
      <c r="K135" s="42">
        <f t="shared" ref="K135:T135" si="66">-K118</f>
        <v>-24916.788000000004</v>
      </c>
      <c r="L135" s="42">
        <f t="shared" si="66"/>
        <v>-32391.824400000005</v>
      </c>
      <c r="M135" s="42">
        <f t="shared" si="66"/>
        <v>-42109.371720000003</v>
      </c>
      <c r="N135" s="42">
        <f t="shared" si="66"/>
        <v>-54321.089518800007</v>
      </c>
      <c r="O135" s="42">
        <f t="shared" si="66"/>
        <v>-70074.205479252021</v>
      </c>
      <c r="P135" s="42">
        <f t="shared" si="66"/>
        <v>-89204.463575087822</v>
      </c>
      <c r="Q135" s="42">
        <f t="shared" si="66"/>
        <v>-109364.67234305768</v>
      </c>
      <c r="R135" s="42">
        <f t="shared" si="66"/>
        <v>-128831.58402012194</v>
      </c>
      <c r="S135" s="42">
        <f t="shared" si="66"/>
        <v>-145708.52152675792</v>
      </c>
      <c r="T135" s="42">
        <f t="shared" si="66"/>
        <v>-157948.03733500559</v>
      </c>
      <c r="U135" s="31"/>
    </row>
    <row r="136" spans="1:21" s="5" customFormat="1" ht="15" hidden="1" customHeight="1" outlineLevel="1">
      <c r="B136" s="21"/>
      <c r="C136" s="21" t="s">
        <v>7</v>
      </c>
      <c r="D136" s="7"/>
      <c r="E136" s="7"/>
      <c r="F136" s="11"/>
      <c r="G136" s="11"/>
      <c r="H136" s="45"/>
      <c r="I136" s="18"/>
      <c r="J136" s="43">
        <f>BS!C11</f>
        <v>42362</v>
      </c>
      <c r="K136" s="43">
        <f>SUM(K133:K135)</f>
        <v>42362</v>
      </c>
      <c r="L136" s="43">
        <f t="shared" ref="L136:T136" si="67">SUM(L133:L135)</f>
        <v>42362.000000000007</v>
      </c>
      <c r="M136" s="43">
        <f t="shared" si="67"/>
        <v>42362.000000000007</v>
      </c>
      <c r="N136" s="43">
        <f t="shared" si="67"/>
        <v>42362.000000000007</v>
      </c>
      <c r="O136" s="43">
        <f t="shared" si="67"/>
        <v>42362.000000000015</v>
      </c>
      <c r="P136" s="43">
        <f t="shared" si="67"/>
        <v>42362.000000000015</v>
      </c>
      <c r="Q136" s="43">
        <f t="shared" si="67"/>
        <v>42362.000000000015</v>
      </c>
      <c r="R136" s="43">
        <f t="shared" si="67"/>
        <v>42362.000000000015</v>
      </c>
      <c r="S136" s="43">
        <f t="shared" si="67"/>
        <v>42362</v>
      </c>
      <c r="T136" s="43">
        <f t="shared" si="67"/>
        <v>42362</v>
      </c>
      <c r="U136" s="31"/>
    </row>
    <row r="137" spans="1:21" s="5" customFormat="1" ht="15" hidden="1" customHeight="1" outlineLevel="1">
      <c r="B137" s="24"/>
      <c r="C137" s="24"/>
      <c r="D137" s="25"/>
      <c r="E137" s="25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33"/>
      <c r="Q137" s="33"/>
      <c r="R137" s="33"/>
      <c r="S137" s="33"/>
      <c r="T137" s="33"/>
    </row>
    <row r="138" spans="1:21" s="5" customFormat="1" ht="15" customHeight="1" collapsed="1">
      <c r="B138" s="10"/>
      <c r="C138" s="10"/>
      <c r="D138" s="7"/>
      <c r="E138" s="7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28"/>
      <c r="Q138" s="28"/>
      <c r="R138" s="28"/>
      <c r="S138" s="28"/>
      <c r="T138" s="28"/>
    </row>
    <row r="139" spans="1:21" s="5" customFormat="1" ht="15" customHeight="1">
      <c r="A139" s="5" t="s">
        <v>39</v>
      </c>
      <c r="B139" s="564" t="s">
        <v>29</v>
      </c>
      <c r="C139" s="565"/>
      <c r="D139" s="565"/>
      <c r="E139" s="565"/>
      <c r="F139" s="566"/>
      <c r="G139" s="566"/>
      <c r="H139" s="567"/>
      <c r="I139" s="567"/>
      <c r="J139" s="567"/>
      <c r="K139" s="567"/>
      <c r="L139" s="567"/>
      <c r="M139" s="567"/>
      <c r="N139" s="567"/>
      <c r="O139" s="567"/>
      <c r="P139" s="603"/>
      <c r="Q139" s="604"/>
      <c r="R139" s="604"/>
      <c r="S139" s="604"/>
      <c r="T139" s="604"/>
    </row>
    <row r="140" spans="1:21" s="5" customFormat="1" ht="15" hidden="1" customHeight="1" outlineLevel="1">
      <c r="B140" s="6"/>
      <c r="C140" s="6"/>
      <c r="D140" s="7"/>
      <c r="E140" s="7"/>
      <c r="F140" s="8"/>
      <c r="G140" s="8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</row>
    <row r="141" spans="1:21" s="5" customFormat="1" ht="15" hidden="1" customHeight="1" outlineLevel="1" thickBot="1">
      <c r="B141" s="10" t="s">
        <v>8</v>
      </c>
      <c r="C141" s="10"/>
      <c r="D141" s="7"/>
      <c r="E141" s="7"/>
      <c r="F141" s="11"/>
      <c r="G141" s="11"/>
      <c r="H141" s="11"/>
      <c r="I141" s="11"/>
      <c r="J141" s="613">
        <v>2024</v>
      </c>
      <c r="K141" s="577">
        <v>2025</v>
      </c>
      <c r="L141" s="577">
        <v>2026</v>
      </c>
      <c r="M141" s="577">
        <v>2027</v>
      </c>
      <c r="N141" s="577">
        <v>2028</v>
      </c>
      <c r="O141" s="577">
        <v>2029</v>
      </c>
      <c r="P141" s="577">
        <v>2030</v>
      </c>
      <c r="Q141" s="577">
        <v>2031</v>
      </c>
      <c r="R141" s="577">
        <v>2032</v>
      </c>
      <c r="S141" s="577">
        <v>2033</v>
      </c>
      <c r="T141" s="577">
        <v>2034</v>
      </c>
      <c r="U141" s="30"/>
    </row>
    <row r="142" spans="1:21" s="5" customFormat="1" ht="15" hidden="1" customHeight="1" outlineLevel="1">
      <c r="B142" s="10" t="str">
        <f>$B$6</f>
        <v>Model Running: Base Case Drivers</v>
      </c>
      <c r="C142" s="10"/>
      <c r="D142" s="7"/>
      <c r="E142" s="7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28"/>
      <c r="Q142" s="28"/>
      <c r="R142" s="28"/>
      <c r="S142" s="28"/>
      <c r="T142" s="28"/>
      <c r="U142" s="30"/>
    </row>
    <row r="143" spans="1:21" s="5" customFormat="1" ht="15" hidden="1" customHeight="1" outlineLevel="1">
      <c r="B143" s="10"/>
      <c r="C143" s="10"/>
      <c r="D143" s="7"/>
      <c r="E143" s="7"/>
      <c r="F143" s="11"/>
      <c r="G143" s="11"/>
      <c r="H143" s="11"/>
      <c r="I143" s="11"/>
      <c r="K143" s="11"/>
      <c r="L143" s="11"/>
      <c r="M143" s="11"/>
      <c r="N143" s="11"/>
      <c r="O143" s="11"/>
      <c r="P143" s="28"/>
      <c r="Q143" s="28"/>
      <c r="R143" s="28"/>
      <c r="S143" s="28"/>
      <c r="T143" s="28"/>
      <c r="U143" s="30"/>
    </row>
    <row r="144" spans="1:21" s="5" customFormat="1" ht="15" hidden="1" customHeight="1" outlineLevel="1">
      <c r="B144" s="13" t="s">
        <v>27</v>
      </c>
      <c r="C144" s="21"/>
      <c r="D144" s="7"/>
      <c r="E144" s="7"/>
      <c r="F144" s="11"/>
      <c r="G144" s="11"/>
      <c r="H144" s="18"/>
      <c r="I144" s="18"/>
      <c r="K144" s="283">
        <f t="shared" ref="K144:T144" si="68">K22</f>
        <v>-176251.97239338988</v>
      </c>
      <c r="L144" s="202">
        <f t="shared" si="68"/>
        <v>-91755.622296208981</v>
      </c>
      <c r="M144" s="202">
        <f t="shared" si="68"/>
        <v>-9856.8775471617118</v>
      </c>
      <c r="N144" s="202">
        <f t="shared" si="68"/>
        <v>144918.80337132502</v>
      </c>
      <c r="O144" s="202">
        <f t="shared" si="68"/>
        <v>347925.40889205236</v>
      </c>
      <c r="P144" s="202">
        <f t="shared" si="68"/>
        <v>680442.3981538862</v>
      </c>
      <c r="Q144" s="202">
        <f t="shared" si="68"/>
        <v>1001149.2915763228</v>
      </c>
      <c r="R144" s="202">
        <f t="shared" si="68"/>
        <v>1232969.9259015</v>
      </c>
      <c r="S144" s="202">
        <f t="shared" si="68"/>
        <v>1518732.465156964</v>
      </c>
      <c r="T144" s="203">
        <f t="shared" si="68"/>
        <v>1692098.470944731</v>
      </c>
      <c r="U144" s="30"/>
    </row>
    <row r="145" spans="1:21" s="5" customFormat="1" ht="15" hidden="1" customHeight="1" outlineLevel="1">
      <c r="B145" s="21" t="s">
        <v>22</v>
      </c>
      <c r="C145" s="10"/>
      <c r="D145" s="7"/>
      <c r="E145" s="7"/>
      <c r="F145" s="11"/>
      <c r="G145" s="11"/>
      <c r="H145" s="11"/>
      <c r="I145" s="11"/>
      <c r="K145" s="252">
        <f t="shared" ref="K145:T145" si="69">IF(K154&gt;0,1,0)</f>
        <v>0</v>
      </c>
      <c r="L145" s="141">
        <f t="shared" si="69"/>
        <v>0</v>
      </c>
      <c r="M145" s="141">
        <f t="shared" si="69"/>
        <v>0</v>
      </c>
      <c r="N145" s="141">
        <f t="shared" si="69"/>
        <v>1</v>
      </c>
      <c r="O145" s="141">
        <f t="shared" si="69"/>
        <v>1</v>
      </c>
      <c r="P145" s="141">
        <f t="shared" si="69"/>
        <v>1</v>
      </c>
      <c r="Q145" s="141">
        <f t="shared" si="69"/>
        <v>1</v>
      </c>
      <c r="R145" s="141">
        <f t="shared" si="69"/>
        <v>1</v>
      </c>
      <c r="S145" s="141">
        <f t="shared" si="69"/>
        <v>1</v>
      </c>
      <c r="T145" s="142">
        <f t="shared" si="69"/>
        <v>1</v>
      </c>
      <c r="U145" s="46"/>
    </row>
    <row r="146" spans="1:21" s="5" customFormat="1" ht="15" hidden="1" customHeight="1" outlineLevel="1">
      <c r="B146" s="10"/>
      <c r="C146" s="10"/>
      <c r="D146" s="7"/>
      <c r="E146" s="7"/>
      <c r="F146" s="11"/>
      <c r="G146" s="11"/>
      <c r="H146" s="11"/>
      <c r="I146" s="11"/>
      <c r="T146" s="28"/>
    </row>
    <row r="147" spans="1:21" s="5" customFormat="1" ht="15" hidden="1" customHeight="1" outlineLevel="1">
      <c r="B147" s="52" t="s">
        <v>21</v>
      </c>
      <c r="C147" s="50"/>
      <c r="D147" s="51"/>
      <c r="E147" s="51"/>
      <c r="F147" s="234">
        <f>'Transaction Assumptions'!$J$26</f>
        <v>0.25</v>
      </c>
      <c r="G147" s="11"/>
      <c r="H147" s="11"/>
      <c r="I147" s="11"/>
      <c r="T147" s="28"/>
    </row>
    <row r="148" spans="1:21" ht="15" hidden="1" customHeight="1" outlineLevel="1">
      <c r="A148" s="5"/>
      <c r="B148" s="247" t="s">
        <v>123</v>
      </c>
      <c r="C148" s="216"/>
      <c r="D148" s="25"/>
      <c r="E148" s="25"/>
      <c r="F148" s="279">
        <f>IF(T162=0,0,1)</f>
        <v>0</v>
      </c>
      <c r="G148" s="11"/>
      <c r="H148" s="43"/>
      <c r="I148" s="43"/>
      <c r="J148" s="5"/>
      <c r="K148" s="43"/>
      <c r="L148" s="43"/>
      <c r="M148" s="43"/>
      <c r="N148" s="43"/>
      <c r="O148" s="43"/>
      <c r="P148" s="43"/>
      <c r="Q148" s="43"/>
      <c r="R148" s="43"/>
      <c r="S148" s="43"/>
      <c r="U148" s="30"/>
    </row>
    <row r="149" spans="1:21" s="5" customFormat="1" ht="15" hidden="1" customHeight="1" outlineLevel="1">
      <c r="B149" s="13"/>
      <c r="C149" s="47"/>
      <c r="D149" s="48"/>
      <c r="E149" s="48"/>
      <c r="F149" s="49"/>
      <c r="G149" s="11"/>
      <c r="H149" s="11"/>
      <c r="I149" s="11"/>
      <c r="T149" s="28"/>
    </row>
    <row r="150" spans="1:21" s="5" customFormat="1" ht="15" hidden="1" customHeight="1" outlineLevel="1">
      <c r="B150" s="10"/>
      <c r="C150" s="10"/>
      <c r="D150" s="7"/>
      <c r="E150" s="7"/>
      <c r="F150" s="32"/>
      <c r="G150" s="11"/>
      <c r="H150" s="11"/>
      <c r="I150" s="11"/>
      <c r="J150" s="11"/>
      <c r="K150" s="11"/>
      <c r="L150" s="11"/>
      <c r="M150" s="11"/>
      <c r="N150" s="11"/>
      <c r="O150" s="11"/>
      <c r="P150" s="28"/>
      <c r="Q150" s="28"/>
      <c r="R150" s="28"/>
      <c r="S150" s="28"/>
      <c r="T150" s="28"/>
    </row>
    <row r="151" spans="1:21" s="5" customFormat="1" ht="15" hidden="1" customHeight="1" outlineLevel="1">
      <c r="B151" s="23"/>
      <c r="C151" s="10"/>
      <c r="D151" s="7"/>
      <c r="E151" s="7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28"/>
      <c r="Q151" s="28"/>
      <c r="R151" s="28"/>
      <c r="S151" s="28"/>
      <c r="T151" s="28"/>
    </row>
    <row r="152" spans="1:21" s="5" customFormat="1" ht="15" hidden="1" customHeight="1" outlineLevel="1">
      <c r="B152" s="10"/>
      <c r="C152" s="21"/>
      <c r="D152" s="7"/>
      <c r="E152" s="7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</row>
    <row r="153" spans="1:21" s="5" customFormat="1" ht="15" hidden="1" customHeight="1" outlineLevel="1">
      <c r="B153" s="23" t="s">
        <v>336</v>
      </c>
      <c r="C153" s="21"/>
      <c r="D153" s="7"/>
      <c r="E153" s="7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43"/>
      <c r="Q153" s="43"/>
      <c r="R153" s="43"/>
      <c r="S153" s="43"/>
      <c r="T153" s="43"/>
      <c r="U153" s="281"/>
    </row>
    <row r="154" spans="1:21" s="5" customFormat="1" ht="15" hidden="1" customHeight="1" outlineLevel="1">
      <c r="B154" s="10"/>
      <c r="C154" s="21" t="s">
        <v>9</v>
      </c>
      <c r="D154" s="7"/>
      <c r="E154" s="7"/>
      <c r="F154" s="11"/>
      <c r="G154" s="11"/>
      <c r="H154" s="18"/>
      <c r="I154" s="18"/>
      <c r="J154" s="18"/>
      <c r="K154" s="18">
        <f>K144</f>
        <v>-176251.97239338988</v>
      </c>
      <c r="L154" s="18">
        <f t="shared" ref="L154:T154" si="70">L144</f>
        <v>-91755.622296208981</v>
      </c>
      <c r="M154" s="18">
        <f t="shared" si="70"/>
        <v>-9856.8775471617118</v>
      </c>
      <c r="N154" s="18">
        <f t="shared" si="70"/>
        <v>144918.80337132502</v>
      </c>
      <c r="O154" s="18">
        <f t="shared" si="70"/>
        <v>347925.40889205236</v>
      </c>
      <c r="P154" s="18">
        <f t="shared" si="70"/>
        <v>680442.3981538862</v>
      </c>
      <c r="Q154" s="18">
        <f t="shared" si="70"/>
        <v>1001149.2915763228</v>
      </c>
      <c r="R154" s="18">
        <f t="shared" si="70"/>
        <v>1232969.9259015</v>
      </c>
      <c r="S154" s="18">
        <f t="shared" si="70"/>
        <v>1518732.465156964</v>
      </c>
      <c r="T154" s="18">
        <f t="shared" si="70"/>
        <v>1692098.470944731</v>
      </c>
    </row>
    <row r="155" spans="1:21" s="5" customFormat="1" ht="15" hidden="1" customHeight="1" outlineLevel="1">
      <c r="B155" s="10"/>
      <c r="C155" s="21" t="s">
        <v>26</v>
      </c>
      <c r="D155" s="7"/>
      <c r="E155" s="7"/>
      <c r="F155" s="11"/>
      <c r="G155" s="11"/>
      <c r="H155" s="11"/>
      <c r="I155" s="11"/>
      <c r="J155" s="11"/>
      <c r="K155" s="42">
        <f>K161</f>
        <v>0</v>
      </c>
      <c r="L155" s="42">
        <f>L161</f>
        <v>0</v>
      </c>
      <c r="M155" s="42">
        <f t="shared" ref="M155:T155" si="71">M161</f>
        <v>0</v>
      </c>
      <c r="N155" s="42">
        <f t="shared" si="71"/>
        <v>-144918.80337132502</v>
      </c>
      <c r="O155" s="42">
        <f t="shared" si="71"/>
        <v>-347925.40889205236</v>
      </c>
      <c r="P155" s="42">
        <f>P161</f>
        <v>-173620.25997338328</v>
      </c>
      <c r="Q155" s="42">
        <f t="shared" si="71"/>
        <v>0</v>
      </c>
      <c r="R155" s="42">
        <f t="shared" si="71"/>
        <v>0</v>
      </c>
      <c r="S155" s="42">
        <f t="shared" si="71"/>
        <v>0</v>
      </c>
      <c r="T155" s="42">
        <f t="shared" si="71"/>
        <v>0</v>
      </c>
    </row>
    <row r="156" spans="1:21" s="5" customFormat="1" ht="15" hidden="1" customHeight="1" outlineLevel="1">
      <c r="B156" s="10"/>
      <c r="C156" s="21" t="s">
        <v>10</v>
      </c>
      <c r="D156" s="7"/>
      <c r="E156" s="7"/>
      <c r="F156" s="11"/>
      <c r="G156" s="11"/>
      <c r="H156" s="11"/>
      <c r="I156" s="11"/>
      <c r="J156" s="11"/>
      <c r="K156" s="43">
        <f>MAX(SUM(K154:K155),0)</f>
        <v>0</v>
      </c>
      <c r="L156" s="43">
        <f t="shared" ref="L156:T156" si="72">MAX(SUM(L154:L155),0)</f>
        <v>0</v>
      </c>
      <c r="M156" s="43">
        <f t="shared" si="72"/>
        <v>0</v>
      </c>
      <c r="N156" s="43">
        <f t="shared" si="72"/>
        <v>0</v>
      </c>
      <c r="O156" s="43">
        <f t="shared" si="72"/>
        <v>0</v>
      </c>
      <c r="P156" s="43">
        <f t="shared" si="72"/>
        <v>506822.13818050292</v>
      </c>
      <c r="Q156" s="43">
        <f t="shared" si="72"/>
        <v>1001149.2915763228</v>
      </c>
      <c r="R156" s="43">
        <f t="shared" si="72"/>
        <v>1232969.9259015</v>
      </c>
      <c r="S156" s="43">
        <f t="shared" si="72"/>
        <v>1518732.465156964</v>
      </c>
      <c r="T156" s="43">
        <f t="shared" si="72"/>
        <v>1692098.470944731</v>
      </c>
    </row>
    <row r="157" spans="1:21" s="5" customFormat="1" ht="15" hidden="1" customHeight="1" outlineLevel="1">
      <c r="B157" s="10"/>
      <c r="C157" s="10"/>
      <c r="D157" s="7"/>
      <c r="E157" s="7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6"/>
      <c r="Q157" s="116"/>
      <c r="R157" s="116"/>
      <c r="S157" s="116"/>
      <c r="T157" s="116"/>
    </row>
    <row r="158" spans="1:21" s="5" customFormat="1" ht="15" hidden="1" customHeight="1" outlineLevel="1">
      <c r="B158" s="23" t="s">
        <v>119</v>
      </c>
      <c r="C158" s="10"/>
      <c r="D158" s="7"/>
      <c r="E158" s="7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6"/>
      <c r="Q158" s="116"/>
      <c r="R158" s="116"/>
      <c r="S158" s="116"/>
      <c r="T158" s="116"/>
    </row>
    <row r="159" spans="1:21" s="5" customFormat="1" ht="15" hidden="1" customHeight="1" outlineLevel="1">
      <c r="B159" s="10"/>
      <c r="C159" s="21" t="s">
        <v>6</v>
      </c>
      <c r="D159" s="7"/>
      <c r="E159" s="7"/>
      <c r="F159" s="11"/>
      <c r="G159" s="11"/>
      <c r="H159" s="11"/>
      <c r="I159" s="11"/>
      <c r="J159" s="11"/>
      <c r="K159" s="43">
        <f>J162</f>
        <v>388600</v>
      </c>
      <c r="L159" s="43">
        <f t="shared" ref="L159:T159" si="73">K162</f>
        <v>564851.97239338991</v>
      </c>
      <c r="M159" s="43">
        <f t="shared" si="73"/>
        <v>656607.59468959889</v>
      </c>
      <c r="N159" s="43">
        <f t="shared" si="73"/>
        <v>666464.47223676066</v>
      </c>
      <c r="O159" s="43">
        <f t="shared" si="73"/>
        <v>521545.66886543564</v>
      </c>
      <c r="P159" s="43">
        <f>O162</f>
        <v>173620.25997338328</v>
      </c>
      <c r="Q159" s="43">
        <f>P162</f>
        <v>0</v>
      </c>
      <c r="R159" s="43">
        <f t="shared" si="73"/>
        <v>0</v>
      </c>
      <c r="S159" s="43">
        <f t="shared" si="73"/>
        <v>0</v>
      </c>
      <c r="T159" s="43">
        <f t="shared" si="73"/>
        <v>0</v>
      </c>
    </row>
    <row r="160" spans="1:21" s="5" customFormat="1" ht="15" hidden="1" customHeight="1" outlineLevel="1">
      <c r="B160" s="10"/>
      <c r="C160" s="21" t="s">
        <v>17</v>
      </c>
      <c r="D160" s="7"/>
      <c r="E160" s="7"/>
      <c r="F160" s="11"/>
      <c r="G160" s="11"/>
      <c r="H160" s="11"/>
      <c r="I160" s="11"/>
      <c r="J160" s="11"/>
      <c r="K160" s="43">
        <f>-MIN(K154,0)</f>
        <v>176251.97239338988</v>
      </c>
      <c r="L160" s="43">
        <f t="shared" ref="L160:T160" si="74">-MIN(L154,0)</f>
        <v>91755.622296208981</v>
      </c>
      <c r="M160" s="43">
        <f t="shared" si="74"/>
        <v>9856.8775471617118</v>
      </c>
      <c r="N160" s="43">
        <f t="shared" si="74"/>
        <v>0</v>
      </c>
      <c r="O160" s="43">
        <f t="shared" si="74"/>
        <v>0</v>
      </c>
      <c r="P160" s="43">
        <f t="shared" si="74"/>
        <v>0</v>
      </c>
      <c r="Q160" s="43">
        <f t="shared" si="74"/>
        <v>0</v>
      </c>
      <c r="R160" s="43">
        <f t="shared" si="74"/>
        <v>0</v>
      </c>
      <c r="S160" s="43">
        <f t="shared" si="74"/>
        <v>0</v>
      </c>
      <c r="T160" s="43">
        <f t="shared" si="74"/>
        <v>0</v>
      </c>
      <c r="U160" s="281"/>
    </row>
    <row r="161" spans="1:21" s="5" customFormat="1" ht="15" hidden="1" customHeight="1" outlineLevel="1">
      <c r="B161" s="10"/>
      <c r="C161" s="21" t="s">
        <v>26</v>
      </c>
      <c r="D161" s="7"/>
      <c r="E161" s="7"/>
      <c r="F161" s="11"/>
      <c r="G161" s="11"/>
      <c r="H161" s="11"/>
      <c r="I161" s="11"/>
      <c r="J161" s="26"/>
      <c r="K161" s="42">
        <f t="shared" ref="K161:T161" si="75">-MIN(K159,K154)*K145</f>
        <v>0</v>
      </c>
      <c r="L161" s="42">
        <f t="shared" si="75"/>
        <v>0</v>
      </c>
      <c r="M161" s="42">
        <f t="shared" si="75"/>
        <v>0</v>
      </c>
      <c r="N161" s="42">
        <f t="shared" si="75"/>
        <v>-144918.80337132502</v>
      </c>
      <c r="O161" s="42">
        <f t="shared" si="75"/>
        <v>-347925.40889205236</v>
      </c>
      <c r="P161" s="42">
        <f t="shared" si="75"/>
        <v>-173620.25997338328</v>
      </c>
      <c r="Q161" s="42">
        <f t="shared" si="75"/>
        <v>0</v>
      </c>
      <c r="R161" s="42">
        <f t="shared" si="75"/>
        <v>0</v>
      </c>
      <c r="S161" s="42">
        <f t="shared" si="75"/>
        <v>0</v>
      </c>
      <c r="T161" s="42">
        <f t="shared" si="75"/>
        <v>0</v>
      </c>
      <c r="U161" s="281"/>
    </row>
    <row r="162" spans="1:21" s="5" customFormat="1" ht="15" hidden="1" customHeight="1" outlineLevel="1">
      <c r="B162" s="10"/>
      <c r="C162" s="21" t="s">
        <v>7</v>
      </c>
      <c r="D162" s="7"/>
      <c r="E162" s="7"/>
      <c r="F162" s="11"/>
      <c r="G162" s="11"/>
      <c r="H162" s="11"/>
      <c r="I162" s="453" t="s">
        <v>374</v>
      </c>
      <c r="J162" s="29">
        <v>388600</v>
      </c>
      <c r="K162" s="43">
        <f>SUM(K159:K161)</f>
        <v>564851.97239338991</v>
      </c>
      <c r="L162" s="43">
        <f t="shared" ref="L162:T162" si="76">SUM(L159:L161)</f>
        <v>656607.59468959889</v>
      </c>
      <c r="M162" s="43">
        <f t="shared" si="76"/>
        <v>666464.47223676066</v>
      </c>
      <c r="N162" s="43">
        <f t="shared" si="76"/>
        <v>521545.66886543564</v>
      </c>
      <c r="O162" s="43">
        <f t="shared" si="76"/>
        <v>173620.25997338328</v>
      </c>
      <c r="P162" s="43">
        <f t="shared" si="76"/>
        <v>0</v>
      </c>
      <c r="Q162" s="43">
        <f t="shared" si="76"/>
        <v>0</v>
      </c>
      <c r="R162" s="43">
        <f t="shared" si="76"/>
        <v>0</v>
      </c>
      <c r="S162" s="43">
        <f t="shared" si="76"/>
        <v>0</v>
      </c>
      <c r="T162" s="43">
        <f t="shared" si="76"/>
        <v>0</v>
      </c>
      <c r="U162" s="30"/>
    </row>
    <row r="163" spans="1:21" s="5" customFormat="1" ht="15" hidden="1" customHeight="1" outlineLevel="1">
      <c r="B163" s="34"/>
      <c r="C163" s="34"/>
      <c r="D163" s="35"/>
      <c r="E163" s="35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7"/>
      <c r="Q163" s="37"/>
      <c r="R163" s="37"/>
      <c r="S163" s="37"/>
      <c r="T163" s="37"/>
      <c r="U163" s="30"/>
    </row>
    <row r="164" spans="1:21" s="5" customFormat="1" ht="15" hidden="1" customHeight="1" outlineLevel="1">
      <c r="B164" s="10"/>
      <c r="C164" s="10"/>
      <c r="D164" s="7"/>
      <c r="E164" s="7"/>
      <c r="F164" s="11"/>
      <c r="G164" s="11"/>
      <c r="H164" s="11"/>
      <c r="I164" s="11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</row>
    <row r="165" spans="1:21" s="5" customFormat="1" ht="15" hidden="1" customHeight="1" outlineLevel="1">
      <c r="B165" s="23" t="s">
        <v>120</v>
      </c>
      <c r="C165" s="10"/>
      <c r="D165" s="7"/>
      <c r="E165" s="7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28"/>
      <c r="Q165" s="28"/>
      <c r="R165" s="28"/>
      <c r="S165" s="28"/>
      <c r="T165" s="28"/>
    </row>
    <row r="166" spans="1:21" s="5" customFormat="1" ht="15" hidden="1" customHeight="1" outlineLevel="1">
      <c r="B166" s="10"/>
      <c r="C166" s="21" t="s">
        <v>18</v>
      </c>
      <c r="D166" s="7"/>
      <c r="E166" s="7"/>
      <c r="F166" s="11"/>
      <c r="G166" s="11"/>
      <c r="H166" s="18"/>
      <c r="I166" s="18"/>
      <c r="J166" s="18"/>
      <c r="K166" s="43">
        <f t="shared" ref="K166:T166" si="77">$F$147*K156</f>
        <v>0</v>
      </c>
      <c r="L166" s="43">
        <f t="shared" si="77"/>
        <v>0</v>
      </c>
      <c r="M166" s="43">
        <f t="shared" si="77"/>
        <v>0</v>
      </c>
      <c r="N166" s="43">
        <f t="shared" si="77"/>
        <v>0</v>
      </c>
      <c r="O166" s="43">
        <f t="shared" si="77"/>
        <v>0</v>
      </c>
      <c r="P166" s="43">
        <f t="shared" si="77"/>
        <v>126705.53454512573</v>
      </c>
      <c r="Q166" s="43">
        <f t="shared" si="77"/>
        <v>250287.32289408069</v>
      </c>
      <c r="R166" s="43">
        <f t="shared" si="77"/>
        <v>308242.48147537501</v>
      </c>
      <c r="S166" s="43">
        <f t="shared" si="77"/>
        <v>379683.11628924101</v>
      </c>
      <c r="T166" s="43">
        <f t="shared" si="77"/>
        <v>423024.61773618276</v>
      </c>
    </row>
    <row r="167" spans="1:21" s="5" customFormat="1" ht="15" hidden="1" customHeight="1" outlineLevel="1">
      <c r="B167" s="10"/>
      <c r="C167" s="21" t="s">
        <v>19</v>
      </c>
      <c r="D167" s="7"/>
      <c r="E167" s="7"/>
      <c r="F167" s="11"/>
      <c r="G167" s="11"/>
      <c r="H167" s="11"/>
      <c r="I167" s="11"/>
      <c r="J167" s="11"/>
      <c r="K167" s="43">
        <f>K168-K166</f>
        <v>0</v>
      </c>
      <c r="L167" s="43">
        <f t="shared" ref="L167:T167" si="78">L168-L166</f>
        <v>0</v>
      </c>
      <c r="M167" s="43">
        <f>M168-M166</f>
        <v>0</v>
      </c>
      <c r="N167" s="43">
        <f t="shared" si="78"/>
        <v>36229.700842831255</v>
      </c>
      <c r="O167" s="43">
        <f t="shared" si="78"/>
        <v>86981.352223013091</v>
      </c>
      <c r="P167" s="43">
        <f>P168-P166</f>
        <v>43405.064993345819</v>
      </c>
      <c r="Q167" s="43">
        <f t="shared" si="78"/>
        <v>0</v>
      </c>
      <c r="R167" s="43">
        <f t="shared" si="78"/>
        <v>0</v>
      </c>
      <c r="S167" s="43">
        <f t="shared" si="78"/>
        <v>0</v>
      </c>
      <c r="T167" s="43">
        <f t="shared" si="78"/>
        <v>0</v>
      </c>
      <c r="U167" s="30"/>
    </row>
    <row r="168" spans="1:21" s="5" customFormat="1" ht="15" hidden="1" customHeight="1" outlineLevel="1" thickBot="1">
      <c r="B168" s="10"/>
      <c r="C168" s="21" t="s">
        <v>20</v>
      </c>
      <c r="D168" s="7"/>
      <c r="E168" s="7"/>
      <c r="F168" s="11"/>
      <c r="G168" s="11"/>
      <c r="H168" s="11"/>
      <c r="I168" s="11"/>
      <c r="J168" s="11"/>
      <c r="K168" s="115">
        <f t="shared" ref="K168:T168" si="79">MAX($F$147*K154,0)</f>
        <v>0</v>
      </c>
      <c r="L168" s="115">
        <f t="shared" si="79"/>
        <v>0</v>
      </c>
      <c r="M168" s="115">
        <f t="shared" si="79"/>
        <v>0</v>
      </c>
      <c r="N168" s="115">
        <f t="shared" si="79"/>
        <v>36229.700842831255</v>
      </c>
      <c r="O168" s="115">
        <f t="shared" si="79"/>
        <v>86981.352223013091</v>
      </c>
      <c r="P168" s="115">
        <f t="shared" si="79"/>
        <v>170110.59953847155</v>
      </c>
      <c r="Q168" s="115">
        <f t="shared" si="79"/>
        <v>250287.32289408069</v>
      </c>
      <c r="R168" s="115">
        <f t="shared" si="79"/>
        <v>308242.48147537501</v>
      </c>
      <c r="S168" s="115">
        <f t="shared" si="79"/>
        <v>379683.11628924101</v>
      </c>
      <c r="T168" s="115">
        <f t="shared" si="79"/>
        <v>423024.61773618276</v>
      </c>
      <c r="U168" s="30"/>
    </row>
    <row r="169" spans="1:21" ht="15" hidden="1" customHeight="1" outlineLevel="1">
      <c r="B169" s="101"/>
      <c r="C169" s="101"/>
      <c r="D169" s="101"/>
      <c r="E169" s="101"/>
      <c r="F169" s="101"/>
      <c r="G169" s="101"/>
      <c r="H169" s="101"/>
      <c r="I169" s="101"/>
      <c r="J169" s="101"/>
      <c r="K169" s="101"/>
      <c r="L169" s="101"/>
      <c r="M169" s="101"/>
      <c r="N169" s="101"/>
      <c r="O169" s="101"/>
      <c r="P169" s="132"/>
      <c r="Q169" s="101"/>
      <c r="R169" s="101"/>
      <c r="S169" s="101"/>
      <c r="T169" s="101"/>
    </row>
    <row r="170" spans="1:21" ht="15" customHeight="1" collapsed="1"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81"/>
      <c r="Q170" s="58"/>
      <c r="R170" s="58"/>
      <c r="S170" s="58"/>
      <c r="T170" s="58"/>
    </row>
    <row r="171" spans="1:21" ht="15" customHeight="1">
      <c r="A171" s="215" t="s">
        <v>39</v>
      </c>
      <c r="B171" s="515" t="s">
        <v>379</v>
      </c>
      <c r="C171" s="516"/>
      <c r="D171" s="517"/>
      <c r="E171" s="605"/>
      <c r="F171" s="606"/>
      <c r="G171" s="606"/>
      <c r="H171" s="606"/>
      <c r="I171" s="606"/>
      <c r="J171" s="606"/>
      <c r="K171" s="606"/>
      <c r="L171" s="606"/>
      <c r="M171" s="606"/>
      <c r="N171" s="606"/>
      <c r="O171" s="606"/>
      <c r="P171" s="606"/>
      <c r="Q171" s="606"/>
      <c r="R171" s="606"/>
      <c r="S171" s="606"/>
      <c r="T171" s="606"/>
    </row>
    <row r="172" spans="1:21" ht="15" hidden="1" customHeight="1" outlineLevel="1">
      <c r="B172" s="70"/>
      <c r="C172" s="71"/>
      <c r="D172" s="72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</row>
    <row r="173" spans="1:21" ht="15" hidden="1" customHeight="1" outlineLevel="1" thickBot="1">
      <c r="B173" s="10" t="s">
        <v>8</v>
      </c>
      <c r="C173" s="71"/>
      <c r="D173" s="74"/>
      <c r="E173" s="74"/>
      <c r="F173" s="74"/>
      <c r="G173" s="74"/>
      <c r="H173" s="131"/>
      <c r="I173" s="11"/>
      <c r="J173" s="612">
        <f>$J$5</f>
        <v>2024</v>
      </c>
      <c r="K173" s="577">
        <f>$K$5</f>
        <v>2025</v>
      </c>
      <c r="L173" s="577">
        <f>$L$5</f>
        <v>2026</v>
      </c>
      <c r="M173" s="577">
        <f>$M$5</f>
        <v>2027</v>
      </c>
      <c r="N173" s="577">
        <f>$N$5</f>
        <v>2028</v>
      </c>
      <c r="O173" s="577">
        <f>$O$5</f>
        <v>2029</v>
      </c>
      <c r="P173" s="577">
        <f>$P$5</f>
        <v>2030</v>
      </c>
      <c r="Q173" s="577">
        <f>$Q$5</f>
        <v>2031</v>
      </c>
      <c r="R173" s="577">
        <f>$R$5</f>
        <v>2032</v>
      </c>
      <c r="S173" s="577">
        <f>$S$5</f>
        <v>2033</v>
      </c>
      <c r="T173" s="577">
        <f>$T$5</f>
        <v>2034</v>
      </c>
    </row>
    <row r="174" spans="1:21" ht="15" hidden="1" customHeight="1" outlineLevel="1">
      <c r="B174" s="10" t="str">
        <f>$B$6</f>
        <v>Model Running: Base Case Drivers</v>
      </c>
      <c r="C174" s="71"/>
      <c r="D174" s="74"/>
      <c r="E174" s="74"/>
      <c r="F174" s="74"/>
      <c r="G174" s="74"/>
      <c r="H174" s="74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</row>
    <row r="175" spans="1:21" ht="15" hidden="1" customHeight="1" outlineLevel="1">
      <c r="B175" s="10"/>
      <c r="C175" s="71"/>
      <c r="D175" s="74"/>
      <c r="E175" s="74"/>
      <c r="F175" s="74"/>
      <c r="G175" s="74"/>
      <c r="H175" s="74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</row>
    <row r="176" spans="1:21" ht="15" hidden="1" customHeight="1" outlineLevel="1">
      <c r="B176" s="21" t="s">
        <v>380</v>
      </c>
      <c r="C176" s="71"/>
      <c r="D176" s="74"/>
      <c r="E176" s="74"/>
      <c r="F176" s="74"/>
      <c r="G176" s="74"/>
      <c r="H176" s="20"/>
      <c r="I176" s="69"/>
      <c r="J176" s="346"/>
      <c r="K176" s="482">
        <f>'Forecasting Assumptions'!G65</f>
        <v>4.2500000000000003E-2</v>
      </c>
      <c r="L176" s="483">
        <f>'Forecasting Assumptions'!H65</f>
        <v>3.7499999999999999E-2</v>
      </c>
      <c r="M176" s="483">
        <f>'Forecasting Assumptions'!I65</f>
        <v>3.5000000000000003E-2</v>
      </c>
      <c r="N176" s="483">
        <f>'Forecasting Assumptions'!J65</f>
        <v>3.2500000000000001E-2</v>
      </c>
      <c r="O176" s="483">
        <f>'Forecasting Assumptions'!K65</f>
        <v>0.03</v>
      </c>
      <c r="P176" s="483">
        <f>'Forecasting Assumptions'!L65</f>
        <v>0.03</v>
      </c>
      <c r="Q176" s="483">
        <f>'Forecasting Assumptions'!M65</f>
        <v>0.03</v>
      </c>
      <c r="R176" s="483">
        <f>'Forecasting Assumptions'!N65</f>
        <v>0.03</v>
      </c>
      <c r="S176" s="483">
        <f>'Forecasting Assumptions'!O65</f>
        <v>0.03</v>
      </c>
      <c r="T176" s="484">
        <f>'Forecasting Assumptions'!P65</f>
        <v>0.03</v>
      </c>
    </row>
    <row r="177" spans="2:20" ht="15" hidden="1" customHeight="1" outlineLevel="1">
      <c r="B177" s="57"/>
      <c r="C177" s="71"/>
      <c r="D177" s="74"/>
      <c r="E177" s="74"/>
      <c r="F177" s="74"/>
      <c r="G177" s="74"/>
      <c r="H177" s="74"/>
      <c r="I177" s="69"/>
      <c r="J177" s="346"/>
      <c r="K177" s="346"/>
      <c r="L177" s="346"/>
      <c r="M177" s="346"/>
      <c r="N177" s="346"/>
      <c r="O177" s="346"/>
      <c r="P177" s="346"/>
      <c r="Q177" s="346"/>
      <c r="R177" s="346"/>
      <c r="S177" s="346"/>
      <c r="T177" s="346"/>
    </row>
    <row r="178" spans="2:20" ht="15" hidden="1" customHeight="1" outlineLevel="1">
      <c r="B178" s="57"/>
      <c r="C178" s="71"/>
      <c r="D178" s="74"/>
      <c r="E178" s="74"/>
      <c r="F178" s="74"/>
      <c r="G178" s="74"/>
      <c r="H178" s="74"/>
      <c r="I178" s="69"/>
      <c r="J178" s="346"/>
      <c r="K178" s="346"/>
      <c r="L178" s="346"/>
      <c r="M178" s="346"/>
      <c r="N178" s="346"/>
      <c r="O178" s="346"/>
      <c r="P178" s="346"/>
      <c r="Q178" s="346"/>
      <c r="R178" s="346"/>
      <c r="S178" s="346"/>
      <c r="T178" s="346"/>
    </row>
    <row r="179" spans="2:20" ht="15" hidden="1" customHeight="1" outlineLevel="1">
      <c r="B179" s="104" t="s">
        <v>200</v>
      </c>
      <c r="C179" s="103"/>
      <c r="D179" s="96"/>
      <c r="E179" s="103"/>
      <c r="F179" s="103"/>
      <c r="G179" s="103"/>
      <c r="H179" s="104"/>
      <c r="I179" s="104"/>
      <c r="J179" s="93"/>
      <c r="K179" s="93"/>
      <c r="L179" s="93"/>
      <c r="M179" s="93"/>
      <c r="N179" s="93"/>
      <c r="O179" s="93"/>
      <c r="P179" s="93"/>
      <c r="Q179" s="95"/>
      <c r="R179" s="95"/>
      <c r="S179" s="95"/>
      <c r="T179" s="95"/>
    </row>
    <row r="180" spans="2:20" ht="15" hidden="1" customHeight="1" outlineLevel="1">
      <c r="C180" s="21" t="s">
        <v>377</v>
      </c>
      <c r="D180" s="98"/>
      <c r="E180" s="67"/>
      <c r="F180" s="67"/>
      <c r="G180" s="67"/>
      <c r="H180" s="67"/>
      <c r="I180" s="91"/>
      <c r="J180" s="91"/>
      <c r="K180" s="91">
        <f t="shared" ref="K180:T180" si="80">K82</f>
        <v>200000</v>
      </c>
      <c r="L180" s="91">
        <f>L82</f>
        <v>5000</v>
      </c>
      <c r="M180" s="91">
        <f t="shared" si="80"/>
        <v>5000</v>
      </c>
      <c r="N180" s="91">
        <f t="shared" si="80"/>
        <v>5000</v>
      </c>
      <c r="O180" s="91">
        <f t="shared" si="80"/>
        <v>5000</v>
      </c>
      <c r="P180" s="91">
        <f t="shared" si="80"/>
        <v>154820.03127128695</v>
      </c>
      <c r="Q180" s="91">
        <f t="shared" si="80"/>
        <v>587053.08461321285</v>
      </c>
      <c r="R180" s="91">
        <f t="shared" si="80"/>
        <v>1250119.6540829227</v>
      </c>
      <c r="S180" s="91">
        <f t="shared" si="80"/>
        <v>2190769.8847802761</v>
      </c>
      <c r="T180" s="91">
        <f t="shared" si="80"/>
        <v>3288309.4834122919</v>
      </c>
    </row>
    <row r="181" spans="2:20" ht="15" hidden="1" customHeight="1" outlineLevel="1">
      <c r="C181" s="21" t="s">
        <v>68</v>
      </c>
      <c r="D181" s="98"/>
      <c r="E181" s="67"/>
      <c r="F181" s="67"/>
      <c r="G181" s="67"/>
      <c r="H181" s="91"/>
      <c r="I181" s="91"/>
      <c r="J181" s="91"/>
      <c r="K181" s="91">
        <f t="shared" ref="K181:T181" si="81">K68</f>
        <v>-32696.449057646809</v>
      </c>
      <c r="L181" s="91">
        <f t="shared" si="81"/>
        <v>32413.000159302661</v>
      </c>
      <c r="M181" s="91">
        <f t="shared" si="81"/>
        <v>94901.227312035335</v>
      </c>
      <c r="N181" s="91">
        <f t="shared" si="81"/>
        <v>216106.78374054452</v>
      </c>
      <c r="O181" s="91">
        <f t="shared" si="81"/>
        <v>408740.16388702305</v>
      </c>
      <c r="P181" s="91">
        <f t="shared" si="81"/>
        <v>521437.51691701368</v>
      </c>
      <c r="Q181" s="91">
        <f t="shared" si="81"/>
        <v>772431.24181276758</v>
      </c>
      <c r="R181" s="91">
        <f t="shared" si="81"/>
        <v>1069481.8147174753</v>
      </c>
      <c r="S181" s="91">
        <f t="shared" si="81"/>
        <v>1243248.1201587738</v>
      </c>
      <c r="T181" s="91">
        <f t="shared" si="81"/>
        <v>1541173.9995601929</v>
      </c>
    </row>
    <row r="182" spans="2:20" ht="15" hidden="1" customHeight="1" outlineLevel="1">
      <c r="C182" s="21" t="s">
        <v>69</v>
      </c>
      <c r="D182" s="98"/>
      <c r="E182" s="67"/>
      <c r="F182" s="67"/>
      <c r="G182" s="67"/>
      <c r="H182" s="91"/>
      <c r="I182" s="91"/>
      <c r="J182" s="91"/>
      <c r="K182" s="91">
        <f t="shared" ref="K182:T182" si="82">K71</f>
        <v>-24916.788000000004</v>
      </c>
      <c r="L182" s="91">
        <f t="shared" si="82"/>
        <v>-32391.824400000005</v>
      </c>
      <c r="M182" s="91">
        <f t="shared" si="82"/>
        <v>-42109.371720000003</v>
      </c>
      <c r="N182" s="91">
        <f t="shared" si="82"/>
        <v>-54321.089518800007</v>
      </c>
      <c r="O182" s="91">
        <f t="shared" si="82"/>
        <v>-70074.205479252021</v>
      </c>
      <c r="P182" s="91">
        <f t="shared" si="82"/>
        <v>-89204.463575087822</v>
      </c>
      <c r="Q182" s="91">
        <f t="shared" si="82"/>
        <v>-109364.67234305768</v>
      </c>
      <c r="R182" s="91">
        <f t="shared" si="82"/>
        <v>-128831.58402012194</v>
      </c>
      <c r="S182" s="91">
        <f t="shared" si="82"/>
        <v>-145708.52152675792</v>
      </c>
      <c r="T182" s="91">
        <f t="shared" si="82"/>
        <v>-157948.03733500559</v>
      </c>
    </row>
    <row r="183" spans="2:20" ht="15" hidden="1" customHeight="1" outlineLevel="1">
      <c r="C183" s="21" t="s">
        <v>171</v>
      </c>
      <c r="D183" s="98"/>
      <c r="E183" s="67"/>
      <c r="F183" s="67"/>
      <c r="G183" s="67"/>
      <c r="H183" s="91"/>
      <c r="I183" s="91"/>
      <c r="J183" s="91"/>
      <c r="K183" s="91">
        <f>K229+K247</f>
        <v>-54083.141565191996</v>
      </c>
      <c r="L183" s="91">
        <f t="shared" ref="L183:T183" si="83">L229+L247</f>
        <v>-54083.141565191996</v>
      </c>
      <c r="M183" s="91">
        <f t="shared" si="83"/>
        <v>-54083.141565191996</v>
      </c>
      <c r="N183" s="91">
        <f t="shared" si="83"/>
        <v>-54083.141565191996</v>
      </c>
      <c r="O183" s="91">
        <f t="shared" si="83"/>
        <v>-54083.141565191996</v>
      </c>
      <c r="P183" s="91">
        <f t="shared" si="83"/>
        <v>0</v>
      </c>
      <c r="Q183" s="91">
        <f t="shared" si="83"/>
        <v>0</v>
      </c>
      <c r="R183" s="91">
        <f t="shared" si="83"/>
        <v>0</v>
      </c>
      <c r="S183" s="91">
        <f t="shared" si="83"/>
        <v>0</v>
      </c>
      <c r="T183" s="91">
        <f t="shared" si="83"/>
        <v>0</v>
      </c>
    </row>
    <row r="184" spans="2:20" ht="15" hidden="1" customHeight="1" outlineLevel="1">
      <c r="C184" s="21" t="s">
        <v>70</v>
      </c>
      <c r="D184" s="98"/>
      <c r="E184" s="67"/>
      <c r="F184" s="67"/>
      <c r="G184" s="67"/>
      <c r="H184" s="305" t="s">
        <v>169</v>
      </c>
      <c r="I184" s="91"/>
      <c r="J184" s="91"/>
      <c r="K184" s="91">
        <f>SUM(K316:K317)</f>
        <v>0</v>
      </c>
      <c r="L184" s="91">
        <f t="shared" ref="L184:T184" si="84">SUM(L316:L317)</f>
        <v>0</v>
      </c>
      <c r="M184" s="91">
        <f t="shared" si="84"/>
        <v>0</v>
      </c>
      <c r="N184" s="91">
        <f t="shared" si="84"/>
        <v>0</v>
      </c>
      <c r="O184" s="91">
        <f t="shared" si="84"/>
        <v>0</v>
      </c>
      <c r="P184" s="91">
        <f t="shared" si="84"/>
        <v>0</v>
      </c>
      <c r="Q184" s="91">
        <f t="shared" si="84"/>
        <v>0</v>
      </c>
      <c r="R184" s="91">
        <f t="shared" si="84"/>
        <v>0</v>
      </c>
      <c r="S184" s="91">
        <f t="shared" si="84"/>
        <v>0</v>
      </c>
      <c r="T184" s="91">
        <f t="shared" si="84"/>
        <v>0</v>
      </c>
    </row>
    <row r="185" spans="2:20" ht="15" hidden="1" customHeight="1" outlineLevel="1">
      <c r="C185" s="21" t="s">
        <v>71</v>
      </c>
      <c r="D185" s="98"/>
      <c r="E185" s="67"/>
      <c r="F185" s="67"/>
      <c r="G185" s="67"/>
      <c r="H185" s="305" t="s">
        <v>170</v>
      </c>
      <c r="I185" s="91"/>
      <c r="J185" s="91"/>
      <c r="K185" s="91">
        <f>K324</f>
        <v>0</v>
      </c>
      <c r="L185" s="91">
        <f t="shared" ref="L185:T185" si="85">L324</f>
        <v>0</v>
      </c>
      <c r="M185" s="91">
        <f t="shared" si="85"/>
        <v>0</v>
      </c>
      <c r="N185" s="91">
        <f t="shared" si="85"/>
        <v>0</v>
      </c>
      <c r="O185" s="91">
        <f t="shared" si="85"/>
        <v>0</v>
      </c>
      <c r="P185" s="91">
        <f t="shared" si="85"/>
        <v>0</v>
      </c>
      <c r="Q185" s="91">
        <f t="shared" si="85"/>
        <v>0</v>
      </c>
      <c r="R185" s="91">
        <f t="shared" si="85"/>
        <v>0</v>
      </c>
      <c r="S185" s="91">
        <f t="shared" si="85"/>
        <v>0</v>
      </c>
      <c r="T185" s="91">
        <f t="shared" si="85"/>
        <v>0</v>
      </c>
    </row>
    <row r="186" spans="2:20" ht="15" hidden="1" customHeight="1" outlineLevel="1">
      <c r="C186" s="21" t="s">
        <v>150</v>
      </c>
      <c r="D186" s="98"/>
      <c r="E186" s="67"/>
      <c r="F186" s="67"/>
      <c r="G186" s="67"/>
      <c r="H186" s="324">
        <v>5000</v>
      </c>
      <c r="I186" s="91"/>
      <c r="J186" s="91"/>
      <c r="K186" s="91">
        <f>-$H$186</f>
        <v>-5000</v>
      </c>
      <c r="L186" s="91">
        <f t="shared" ref="L186:T186" si="86">-$H$186</f>
        <v>-5000</v>
      </c>
      <c r="M186" s="91">
        <f t="shared" si="86"/>
        <v>-5000</v>
      </c>
      <c r="N186" s="91">
        <f t="shared" si="86"/>
        <v>-5000</v>
      </c>
      <c r="O186" s="91">
        <f t="shared" si="86"/>
        <v>-5000</v>
      </c>
      <c r="P186" s="91">
        <f t="shared" si="86"/>
        <v>-5000</v>
      </c>
      <c r="Q186" s="91">
        <f t="shared" si="86"/>
        <v>-5000</v>
      </c>
      <c r="R186" s="91">
        <f t="shared" si="86"/>
        <v>-5000</v>
      </c>
      <c r="S186" s="91">
        <f t="shared" si="86"/>
        <v>-5000</v>
      </c>
      <c r="T186" s="91">
        <f t="shared" si="86"/>
        <v>-5000</v>
      </c>
    </row>
    <row r="187" spans="2:20" ht="15" hidden="1" customHeight="1" outlineLevel="1">
      <c r="C187" s="21" t="s">
        <v>211</v>
      </c>
      <c r="D187" s="98"/>
      <c r="E187" s="67"/>
      <c r="F187" s="67"/>
      <c r="G187" s="67"/>
      <c r="H187" s="91"/>
      <c r="I187" s="91"/>
      <c r="J187" s="91"/>
      <c r="K187" s="347">
        <f>SUM(K180:K186)</f>
        <v>83303.621377161209</v>
      </c>
      <c r="L187" s="347">
        <f t="shared" ref="L187:O187" si="87">SUM(L180:L186)</f>
        <v>-54061.96580588934</v>
      </c>
      <c r="M187" s="347">
        <f t="shared" si="87"/>
        <v>-1291.2859731566641</v>
      </c>
      <c r="N187" s="347">
        <f t="shared" si="87"/>
        <v>107702.55265655252</v>
      </c>
      <c r="O187" s="347">
        <f t="shared" si="87"/>
        <v>284582.81684257905</v>
      </c>
      <c r="P187" s="347">
        <f>SUM(P180:P186)</f>
        <v>582053.08461321273</v>
      </c>
      <c r="Q187" s="347">
        <f>SUM(Q180:Q186)</f>
        <v>1245119.6540829227</v>
      </c>
      <c r="R187" s="347">
        <f>SUM(R180:R186)</f>
        <v>2185769.8847802761</v>
      </c>
      <c r="S187" s="347">
        <f>SUM(S180:S186)</f>
        <v>3283309.4834122919</v>
      </c>
      <c r="T187" s="347">
        <f>SUM(T180:T186)</f>
        <v>4666535.4456374794</v>
      </c>
    </row>
    <row r="188" spans="2:20" ht="15" hidden="1" customHeight="1" outlineLevel="1">
      <c r="C188" s="21"/>
      <c r="D188" s="98"/>
      <c r="E188" s="67"/>
      <c r="F188" s="67"/>
      <c r="G188" s="67"/>
      <c r="H188" s="91"/>
      <c r="I188" s="91"/>
      <c r="J188" s="91"/>
      <c r="K188" s="91"/>
      <c r="L188" s="91"/>
      <c r="M188" s="91"/>
      <c r="N188" s="91"/>
      <c r="O188" s="91"/>
      <c r="P188" s="91"/>
      <c r="Q188" s="75"/>
      <c r="R188" s="75"/>
      <c r="S188" s="75"/>
      <c r="T188" s="75"/>
    </row>
    <row r="189" spans="2:20" ht="15" hidden="1" customHeight="1" outlineLevel="1">
      <c r="C189" s="21"/>
      <c r="D189" s="98"/>
      <c r="E189" s="67"/>
      <c r="F189" s="67"/>
      <c r="G189" s="67"/>
      <c r="H189" s="91"/>
      <c r="I189" s="91"/>
      <c r="J189" s="91"/>
      <c r="K189" s="91"/>
      <c r="L189" s="91"/>
      <c r="M189" s="91"/>
      <c r="N189" s="91"/>
      <c r="O189" s="91"/>
      <c r="P189" s="91"/>
      <c r="Q189" s="75"/>
      <c r="R189" s="75"/>
      <c r="S189" s="75"/>
      <c r="T189" s="75"/>
    </row>
    <row r="190" spans="2:20" ht="15" hidden="1" customHeight="1" outlineLevel="1">
      <c r="B190" s="104" t="s">
        <v>201</v>
      </c>
      <c r="C190" s="103"/>
      <c r="D190" s="96"/>
      <c r="E190" s="103"/>
      <c r="F190" s="103"/>
      <c r="G190" s="103"/>
      <c r="H190" s="104"/>
      <c r="I190" s="104"/>
      <c r="J190" s="93"/>
      <c r="K190" s="93"/>
      <c r="L190" s="93"/>
      <c r="M190" s="93"/>
      <c r="N190" s="93"/>
      <c r="O190" s="93"/>
      <c r="P190" s="93"/>
      <c r="Q190" s="95"/>
      <c r="R190" s="95"/>
      <c r="S190" s="95"/>
      <c r="T190" s="95"/>
    </row>
    <row r="191" spans="2:20" ht="15" hidden="1" customHeight="1" outlineLevel="1">
      <c r="C191" s="21" t="s">
        <v>6</v>
      </c>
      <c r="D191" s="98"/>
      <c r="E191" s="67"/>
      <c r="F191" s="67"/>
      <c r="G191" s="67"/>
      <c r="H191" s="91"/>
      <c r="I191" s="91"/>
      <c r="J191" s="91"/>
      <c r="K191" s="91">
        <f>J193</f>
        <v>0</v>
      </c>
      <c r="L191" s="91">
        <f t="shared" ref="L191:T191" si="88">K193</f>
        <v>0</v>
      </c>
      <c r="M191" s="91">
        <f t="shared" si="88"/>
        <v>54061.96580588934</v>
      </c>
      <c r="N191" s="91">
        <f t="shared" si="88"/>
        <v>55353.251779046004</v>
      </c>
      <c r="O191" s="91">
        <f t="shared" si="88"/>
        <v>0</v>
      </c>
      <c r="P191" s="91">
        <f t="shared" si="88"/>
        <v>0</v>
      </c>
      <c r="Q191" s="91">
        <f t="shared" si="88"/>
        <v>0</v>
      </c>
      <c r="R191" s="91">
        <f t="shared" si="88"/>
        <v>0</v>
      </c>
      <c r="S191" s="91">
        <f t="shared" si="88"/>
        <v>0</v>
      </c>
      <c r="T191" s="91">
        <f t="shared" si="88"/>
        <v>0</v>
      </c>
    </row>
    <row r="192" spans="2:20" ht="15" hidden="1" customHeight="1" outlineLevel="1">
      <c r="C192" s="21" t="s">
        <v>73</v>
      </c>
      <c r="D192" s="98"/>
      <c r="E192" s="67"/>
      <c r="F192" s="67"/>
      <c r="G192" s="67"/>
      <c r="H192" s="91"/>
      <c r="I192" s="91"/>
      <c r="J192" s="133"/>
      <c r="K192" s="91">
        <f>-MIN(K191,K187)</f>
        <v>0</v>
      </c>
      <c r="L192" s="91">
        <f t="shared" ref="L192:T192" si="89">-MIN(L191,L187)</f>
        <v>54061.96580588934</v>
      </c>
      <c r="M192" s="91">
        <f t="shared" si="89"/>
        <v>1291.2859731566641</v>
      </c>
      <c r="N192" s="91">
        <f t="shared" si="89"/>
        <v>-55353.251779046004</v>
      </c>
      <c r="O192" s="91">
        <f t="shared" si="89"/>
        <v>0</v>
      </c>
      <c r="P192" s="91">
        <f t="shared" si="89"/>
        <v>0</v>
      </c>
      <c r="Q192" s="91">
        <f t="shared" si="89"/>
        <v>0</v>
      </c>
      <c r="R192" s="91">
        <f t="shared" si="89"/>
        <v>0</v>
      </c>
      <c r="S192" s="91">
        <f t="shared" si="89"/>
        <v>0</v>
      </c>
      <c r="T192" s="91">
        <f t="shared" si="89"/>
        <v>0</v>
      </c>
    </row>
    <row r="193" spans="2:20" ht="15" hidden="1" customHeight="1" outlineLevel="1">
      <c r="C193" s="13" t="s">
        <v>7</v>
      </c>
      <c r="D193" s="98"/>
      <c r="E193" s="67"/>
      <c r="F193" s="67"/>
      <c r="G193" s="67"/>
      <c r="H193" s="92"/>
      <c r="I193" s="92"/>
      <c r="J193" s="345">
        <f>+'Transaction Assumptions'!C39</f>
        <v>0</v>
      </c>
      <c r="K193" s="339">
        <f>SUM(K191:K192)</f>
        <v>0</v>
      </c>
      <c r="L193" s="339">
        <f>SUM(L191:L192)</f>
        <v>54061.96580588934</v>
      </c>
      <c r="M193" s="339">
        <f t="shared" ref="M193:O193" si="90">SUM(M191:M192)</f>
        <v>55353.251779046004</v>
      </c>
      <c r="N193" s="339">
        <f t="shared" si="90"/>
        <v>0</v>
      </c>
      <c r="O193" s="339">
        <f t="shared" si="90"/>
        <v>0</v>
      </c>
      <c r="P193" s="339">
        <f>SUM(P191:P192)</f>
        <v>0</v>
      </c>
      <c r="Q193" s="339">
        <f t="shared" ref="Q193:T193" si="91">SUM(Q191:Q192)</f>
        <v>0</v>
      </c>
      <c r="R193" s="339">
        <f t="shared" si="91"/>
        <v>0</v>
      </c>
      <c r="S193" s="339">
        <f t="shared" si="91"/>
        <v>0</v>
      </c>
      <c r="T193" s="339">
        <f t="shared" si="91"/>
        <v>0</v>
      </c>
    </row>
    <row r="194" spans="2:20" ht="15" hidden="1" customHeight="1" outlineLevel="1">
      <c r="C194" s="102"/>
      <c r="D194" s="87"/>
      <c r="E194" s="61"/>
      <c r="F194" s="61"/>
      <c r="G194" s="61"/>
      <c r="H194" s="94"/>
      <c r="I194" s="92"/>
      <c r="J194" s="91"/>
      <c r="K194" s="91"/>
      <c r="L194" s="91"/>
      <c r="M194" s="91"/>
      <c r="N194" s="91"/>
      <c r="O194" s="91"/>
      <c r="P194" s="91"/>
      <c r="Q194" s="75"/>
      <c r="R194" s="75"/>
      <c r="S194" s="75"/>
      <c r="T194" s="75"/>
    </row>
    <row r="195" spans="2:20" ht="15" hidden="1" customHeight="1" outlineLevel="1">
      <c r="C195" s="21" t="s">
        <v>151</v>
      </c>
      <c r="D195" s="87"/>
      <c r="E195" s="61"/>
      <c r="F195" s="61"/>
      <c r="G195" s="61"/>
      <c r="H195" s="94"/>
      <c r="I195" s="92"/>
      <c r="J195" s="91"/>
      <c r="K195" s="348">
        <f>'Transaction Assumptions'!$F$39/10000</f>
        <v>0.02</v>
      </c>
      <c r="L195" s="348">
        <f>'Transaction Assumptions'!$F$39/10000</f>
        <v>0.02</v>
      </c>
      <c r="M195" s="348">
        <f>'Transaction Assumptions'!$F$39/10000</f>
        <v>0.02</v>
      </c>
      <c r="N195" s="348">
        <f>'Transaction Assumptions'!$F$39/10000</f>
        <v>0.02</v>
      </c>
      <c r="O195" s="348">
        <f>'Transaction Assumptions'!$F$39/10000</f>
        <v>0.02</v>
      </c>
      <c r="P195" s="348">
        <f>'Transaction Assumptions'!$F$39/10000</f>
        <v>0.02</v>
      </c>
      <c r="Q195" s="348">
        <f>'Transaction Assumptions'!$F$39/10000</f>
        <v>0.02</v>
      </c>
      <c r="R195" s="348">
        <f>'Transaction Assumptions'!$F$39/10000</f>
        <v>0.02</v>
      </c>
      <c r="S195" s="348">
        <f>'Transaction Assumptions'!$F$39/10000</f>
        <v>0.02</v>
      </c>
      <c r="T195" s="348">
        <f>'Transaction Assumptions'!$F$39/10000</f>
        <v>0.02</v>
      </c>
    </row>
    <row r="196" spans="2:20" ht="15" hidden="1" customHeight="1" outlineLevel="1">
      <c r="C196" s="21" t="s">
        <v>146</v>
      </c>
      <c r="D196" s="87"/>
      <c r="E196" s="61"/>
      <c r="F196" s="61"/>
      <c r="G196" s="61"/>
      <c r="H196" s="305" t="s">
        <v>126</v>
      </c>
      <c r="I196" s="92"/>
      <c r="J196" s="91"/>
      <c r="K196" s="349">
        <f>K176+K195</f>
        <v>6.25E-2</v>
      </c>
      <c r="L196" s="349">
        <f t="shared" ref="L196:T196" si="92">L176+L195</f>
        <v>5.7499999999999996E-2</v>
      </c>
      <c r="M196" s="349">
        <f t="shared" si="92"/>
        <v>5.5000000000000007E-2</v>
      </c>
      <c r="N196" s="349">
        <f t="shared" si="92"/>
        <v>5.2500000000000005E-2</v>
      </c>
      <c r="O196" s="349">
        <f t="shared" si="92"/>
        <v>0.05</v>
      </c>
      <c r="P196" s="349">
        <f t="shared" si="92"/>
        <v>0.05</v>
      </c>
      <c r="Q196" s="349">
        <f t="shared" si="92"/>
        <v>0.05</v>
      </c>
      <c r="R196" s="349">
        <f t="shared" si="92"/>
        <v>0.05</v>
      </c>
      <c r="S196" s="349">
        <f t="shared" si="92"/>
        <v>0.05</v>
      </c>
      <c r="T196" s="349">
        <f t="shared" si="92"/>
        <v>0.05</v>
      </c>
    </row>
    <row r="197" spans="2:20" ht="15" hidden="1" customHeight="1" outlineLevel="1">
      <c r="C197" s="21" t="s">
        <v>81</v>
      </c>
      <c r="D197" s="87"/>
      <c r="E197" s="61"/>
      <c r="G197" s="61"/>
      <c r="H197" s="325">
        <f>Cover!$D$19</f>
        <v>2</v>
      </c>
      <c r="I197" s="92"/>
      <c r="J197" s="91"/>
      <c r="K197" s="91">
        <f>IF($H197=1,AVERAGE(K193,K191)*K196,K191*K196)</f>
        <v>0</v>
      </c>
      <c r="L197" s="91">
        <f t="shared" ref="L197:T197" si="93">IF($H197=1,AVERAGE(L193,L191)*L196,L191*L196)</f>
        <v>0</v>
      </c>
      <c r="M197" s="91">
        <f t="shared" si="93"/>
        <v>2973.408119323914</v>
      </c>
      <c r="N197" s="91">
        <f t="shared" si="93"/>
        <v>2906.0457183999156</v>
      </c>
      <c r="O197" s="91">
        <f>IF($H197=1,AVERAGE(O193,O191)*O196,O191*O196)</f>
        <v>0</v>
      </c>
      <c r="P197" s="91">
        <f t="shared" si="93"/>
        <v>0</v>
      </c>
      <c r="Q197" s="91">
        <f t="shared" si="93"/>
        <v>0</v>
      </c>
      <c r="R197" s="91">
        <f t="shared" si="93"/>
        <v>0</v>
      </c>
      <c r="S197" s="91">
        <f t="shared" si="93"/>
        <v>0</v>
      </c>
      <c r="T197" s="91">
        <f t="shared" si="93"/>
        <v>0</v>
      </c>
    </row>
    <row r="198" spans="2:20" ht="15" hidden="1" customHeight="1" outlineLevel="1">
      <c r="C198" s="21"/>
      <c r="D198" s="87"/>
      <c r="E198" s="61"/>
      <c r="G198" s="61"/>
      <c r="H198" s="75"/>
      <c r="I198" s="92"/>
      <c r="J198" s="91"/>
      <c r="K198" s="91"/>
      <c r="L198" s="91"/>
      <c r="M198" s="91"/>
      <c r="N198" s="91"/>
      <c r="O198" s="91"/>
      <c r="P198" s="91"/>
      <c r="Q198" s="91"/>
      <c r="R198" s="91"/>
      <c r="S198" s="91"/>
      <c r="T198" s="91"/>
    </row>
    <row r="199" spans="2:20" ht="15" hidden="1" customHeight="1" outlineLevel="1">
      <c r="C199" s="21"/>
      <c r="D199" s="87"/>
      <c r="E199" s="61"/>
      <c r="G199" s="61"/>
      <c r="I199" s="92"/>
      <c r="J199" s="91"/>
      <c r="K199" s="91"/>
      <c r="L199" s="91"/>
      <c r="M199" s="91"/>
      <c r="N199" s="91"/>
      <c r="O199" s="91"/>
      <c r="P199" s="91"/>
      <c r="Q199" s="91"/>
      <c r="R199" s="91"/>
      <c r="S199" s="91"/>
      <c r="T199" s="91"/>
    </row>
    <row r="200" spans="2:20" ht="15" hidden="1" customHeight="1" outlineLevel="1">
      <c r="B200" s="104" t="s">
        <v>202</v>
      </c>
      <c r="C200" s="103"/>
      <c r="D200" s="96"/>
      <c r="E200" s="103"/>
      <c r="F200" s="103"/>
      <c r="G200" s="103"/>
      <c r="H200" s="104"/>
      <c r="I200" s="104"/>
      <c r="J200" s="93"/>
      <c r="K200" s="93"/>
      <c r="L200" s="93"/>
      <c r="M200" s="93"/>
      <c r="N200" s="93"/>
      <c r="O200" s="93"/>
      <c r="P200" s="93"/>
      <c r="Q200" s="95"/>
      <c r="R200" s="95"/>
      <c r="S200" s="95"/>
      <c r="T200" s="95"/>
    </row>
    <row r="201" spans="2:20" ht="15" hidden="1" customHeight="1" outlineLevel="1">
      <c r="C201" s="21" t="s">
        <v>6</v>
      </c>
      <c r="D201" s="98"/>
      <c r="E201" s="67"/>
      <c r="F201" s="67"/>
      <c r="G201" s="67"/>
      <c r="H201" s="91"/>
      <c r="I201" s="91"/>
      <c r="J201" s="91"/>
      <c r="K201" s="91">
        <f>J203</f>
        <v>300000</v>
      </c>
      <c r="L201" s="91">
        <f t="shared" ref="L201:T201" si="94">K203</f>
        <v>300000</v>
      </c>
      <c r="M201" s="91">
        <f t="shared" si="94"/>
        <v>245938.03419411066</v>
      </c>
      <c r="N201" s="91">
        <f t="shared" si="94"/>
        <v>244646.748220954</v>
      </c>
      <c r="O201" s="91">
        <f>N203</f>
        <v>300000</v>
      </c>
      <c r="P201" s="91">
        <f t="shared" si="94"/>
        <v>300000</v>
      </c>
      <c r="Q201" s="91">
        <f t="shared" si="94"/>
        <v>300000</v>
      </c>
      <c r="R201" s="91">
        <f t="shared" si="94"/>
        <v>300000</v>
      </c>
      <c r="S201" s="91">
        <f t="shared" si="94"/>
        <v>300000</v>
      </c>
      <c r="T201" s="91">
        <f t="shared" si="94"/>
        <v>300000</v>
      </c>
    </row>
    <row r="202" spans="2:20" ht="15" hidden="1" customHeight="1" outlineLevel="1">
      <c r="C202" s="21" t="s">
        <v>222</v>
      </c>
      <c r="D202" s="98"/>
      <c r="E202" s="67"/>
      <c r="F202" s="67"/>
      <c r="G202" s="67"/>
      <c r="H202" s="305" t="s">
        <v>156</v>
      </c>
      <c r="I202" s="91"/>
      <c r="J202" s="133"/>
      <c r="K202" s="344">
        <f>-K192</f>
        <v>0</v>
      </c>
      <c r="L202" s="344">
        <f t="shared" ref="L202:T202" si="95">-L192</f>
        <v>-54061.96580588934</v>
      </c>
      <c r="M202" s="344">
        <f t="shared" si="95"/>
        <v>-1291.2859731566641</v>
      </c>
      <c r="N202" s="344">
        <f t="shared" si="95"/>
        <v>55353.251779046004</v>
      </c>
      <c r="O202" s="344">
        <f t="shared" si="95"/>
        <v>0</v>
      </c>
      <c r="P202" s="344">
        <f t="shared" si="95"/>
        <v>0</v>
      </c>
      <c r="Q202" s="344">
        <f t="shared" si="95"/>
        <v>0</v>
      </c>
      <c r="R202" s="344">
        <f t="shared" si="95"/>
        <v>0</v>
      </c>
      <c r="S202" s="344">
        <f t="shared" si="95"/>
        <v>0</v>
      </c>
      <c r="T202" s="344">
        <f t="shared" si="95"/>
        <v>0</v>
      </c>
    </row>
    <row r="203" spans="2:20" ht="15" hidden="1" customHeight="1" outlineLevel="1">
      <c r="C203" s="13" t="s">
        <v>7</v>
      </c>
      <c r="D203" s="98"/>
      <c r="E203" s="67"/>
      <c r="F203" s="67"/>
      <c r="G203" s="67"/>
      <c r="H203" s="326">
        <f>'Transaction Assumptions'!D39</f>
        <v>300000</v>
      </c>
      <c r="I203" s="91"/>
      <c r="J203" s="91">
        <f>H203-J193</f>
        <v>300000</v>
      </c>
      <c r="K203" s="91">
        <f>SUM(K201:K202)</f>
        <v>300000</v>
      </c>
      <c r="L203" s="91">
        <f t="shared" ref="L203:T203" si="96">SUM(L201:L202)</f>
        <v>245938.03419411066</v>
      </c>
      <c r="M203" s="91">
        <f t="shared" si="96"/>
        <v>244646.748220954</v>
      </c>
      <c r="N203" s="91">
        <f t="shared" si="96"/>
        <v>300000</v>
      </c>
      <c r="O203" s="91">
        <f t="shared" si="96"/>
        <v>300000</v>
      </c>
      <c r="P203" s="91">
        <f t="shared" si="96"/>
        <v>300000</v>
      </c>
      <c r="Q203" s="91">
        <f t="shared" si="96"/>
        <v>300000</v>
      </c>
      <c r="R203" s="91">
        <f t="shared" si="96"/>
        <v>300000</v>
      </c>
      <c r="S203" s="91">
        <f t="shared" si="96"/>
        <v>300000</v>
      </c>
      <c r="T203" s="91">
        <f t="shared" si="96"/>
        <v>300000</v>
      </c>
    </row>
    <row r="204" spans="2:20" ht="15" hidden="1" customHeight="1" outlineLevel="1">
      <c r="C204" s="102"/>
      <c r="D204" s="98"/>
      <c r="E204" s="67"/>
      <c r="F204" s="67"/>
      <c r="G204" s="67"/>
      <c r="H204" s="75"/>
      <c r="I204" s="91"/>
      <c r="J204" s="91"/>
      <c r="K204" s="91"/>
      <c r="L204" s="91"/>
      <c r="M204" s="91"/>
      <c r="N204" s="91"/>
      <c r="O204" s="91"/>
      <c r="P204" s="91"/>
      <c r="Q204" s="75"/>
      <c r="R204" s="75"/>
      <c r="S204" s="75"/>
      <c r="T204" s="75"/>
    </row>
    <row r="205" spans="2:20" ht="15" hidden="1" customHeight="1" outlineLevel="1">
      <c r="C205" s="21" t="s">
        <v>203</v>
      </c>
      <c r="D205" s="98"/>
      <c r="E205" s="67"/>
      <c r="F205" s="67"/>
      <c r="G205" s="67"/>
      <c r="H205" s="305" t="s">
        <v>126</v>
      </c>
      <c r="I205" s="91"/>
      <c r="J205" s="91"/>
      <c r="K205" s="349">
        <f>+'Transaction Assumptions'!E39</f>
        <v>5.0000000000000001E-3</v>
      </c>
      <c r="L205" s="349">
        <f>K205</f>
        <v>5.0000000000000001E-3</v>
      </c>
      <c r="M205" s="349">
        <f t="shared" ref="M205:T205" si="97">L205</f>
        <v>5.0000000000000001E-3</v>
      </c>
      <c r="N205" s="349">
        <f t="shared" si="97"/>
        <v>5.0000000000000001E-3</v>
      </c>
      <c r="O205" s="349">
        <f t="shared" si="97"/>
        <v>5.0000000000000001E-3</v>
      </c>
      <c r="P205" s="349">
        <f t="shared" si="97"/>
        <v>5.0000000000000001E-3</v>
      </c>
      <c r="Q205" s="349">
        <f t="shared" si="97"/>
        <v>5.0000000000000001E-3</v>
      </c>
      <c r="R205" s="349">
        <f t="shared" si="97"/>
        <v>5.0000000000000001E-3</v>
      </c>
      <c r="S205" s="349">
        <f t="shared" si="97"/>
        <v>5.0000000000000001E-3</v>
      </c>
      <c r="T205" s="349">
        <f t="shared" si="97"/>
        <v>5.0000000000000001E-3</v>
      </c>
    </row>
    <row r="206" spans="2:20" ht="15" hidden="1" customHeight="1" outlineLevel="1">
      <c r="C206" s="21" t="s">
        <v>204</v>
      </c>
      <c r="D206" s="98"/>
      <c r="E206" s="67"/>
      <c r="G206" s="67"/>
      <c r="H206" s="325">
        <f>Cover!$D$19</f>
        <v>2</v>
      </c>
      <c r="I206" s="91"/>
      <c r="J206" s="91"/>
      <c r="K206" s="91">
        <f>MAX(IF($H206=1,AVERAGE(K203,K201)*K205,K201*K205),0)</f>
        <v>1500</v>
      </c>
      <c r="L206" s="91">
        <f t="shared" ref="L206:T206" si="98">MAX(IF($H206=1,AVERAGE(L203,L201)*L205,L201*L205),0)</f>
        <v>1500</v>
      </c>
      <c r="M206" s="91">
        <f t="shared" si="98"/>
        <v>1229.6901709705533</v>
      </c>
      <c r="N206" s="91">
        <f t="shared" si="98"/>
        <v>1223.2337411047699</v>
      </c>
      <c r="O206" s="91">
        <f t="shared" si="98"/>
        <v>1500</v>
      </c>
      <c r="P206" s="91">
        <f t="shared" si="98"/>
        <v>1500</v>
      </c>
      <c r="Q206" s="91">
        <f t="shared" si="98"/>
        <v>1500</v>
      </c>
      <c r="R206" s="91">
        <f t="shared" si="98"/>
        <v>1500</v>
      </c>
      <c r="S206" s="91">
        <f t="shared" si="98"/>
        <v>1500</v>
      </c>
      <c r="T206" s="91">
        <f t="shared" si="98"/>
        <v>1500</v>
      </c>
    </row>
    <row r="207" spans="2:20" ht="15" hidden="1" customHeight="1" outlineLevel="1">
      <c r="C207" s="21"/>
      <c r="D207" s="87"/>
      <c r="E207" s="61"/>
      <c r="G207" s="61"/>
      <c r="H207" s="75"/>
      <c r="I207" s="92"/>
      <c r="J207" s="91"/>
      <c r="K207" s="91"/>
      <c r="L207" s="91"/>
      <c r="M207" s="91"/>
      <c r="N207" s="91"/>
      <c r="O207" s="91"/>
      <c r="P207" s="91"/>
      <c r="Q207" s="91"/>
      <c r="R207" s="91"/>
      <c r="S207" s="91"/>
      <c r="T207" s="91"/>
    </row>
    <row r="208" spans="2:20" ht="15" hidden="1" customHeight="1" outlineLevel="1">
      <c r="C208" s="21"/>
      <c r="D208" s="87"/>
      <c r="E208" s="61"/>
      <c r="G208" s="61"/>
      <c r="H208" s="75"/>
      <c r="I208" s="92"/>
      <c r="J208" s="91"/>
      <c r="K208" s="91"/>
      <c r="L208" s="91"/>
      <c r="M208" s="91"/>
      <c r="N208" s="91"/>
      <c r="O208" s="91"/>
      <c r="P208" s="91"/>
      <c r="Q208" s="91"/>
      <c r="R208" s="91"/>
      <c r="S208" s="91"/>
      <c r="T208" s="91"/>
    </row>
    <row r="209" spans="1:21" ht="15" hidden="1" customHeight="1" outlineLevel="1">
      <c r="C209" s="21"/>
      <c r="D209" s="87"/>
      <c r="E209" s="61"/>
      <c r="G209" s="61"/>
      <c r="H209" s="75"/>
      <c r="I209" s="92"/>
      <c r="J209" s="91"/>
      <c r="K209" s="91"/>
      <c r="L209" s="91"/>
      <c r="M209" s="91"/>
      <c r="N209" s="91"/>
      <c r="O209" s="91"/>
      <c r="P209" s="91"/>
      <c r="Q209" s="91"/>
      <c r="R209" s="91"/>
      <c r="S209" s="91"/>
      <c r="T209" s="91"/>
    </row>
    <row r="210" spans="1:21" ht="15" hidden="1" customHeight="1" outlineLevel="1">
      <c r="C210" s="21" t="s">
        <v>205</v>
      </c>
      <c r="D210" s="87"/>
      <c r="E210" s="61"/>
      <c r="G210" s="61"/>
      <c r="I210" s="92"/>
      <c r="J210" s="91"/>
      <c r="K210" s="243">
        <f>IF(K203&lt;0,1,0)</f>
        <v>0</v>
      </c>
      <c r="L210" s="277">
        <f>IF(L203&lt;0,1,0)</f>
        <v>0</v>
      </c>
      <c r="M210" s="277">
        <f>IF(M203&lt;0,1,0)</f>
        <v>0</v>
      </c>
      <c r="N210" s="277">
        <f t="shared" ref="N210:S210" si="99">IF(N203&lt;0,1,0)</f>
        <v>0</v>
      </c>
      <c r="O210" s="277">
        <f t="shared" si="99"/>
        <v>0</v>
      </c>
      <c r="P210" s="277">
        <f t="shared" si="99"/>
        <v>0</v>
      </c>
      <c r="Q210" s="277">
        <f t="shared" si="99"/>
        <v>0</v>
      </c>
      <c r="R210" s="277">
        <f t="shared" si="99"/>
        <v>0</v>
      </c>
      <c r="S210" s="277">
        <f t="shared" si="99"/>
        <v>0</v>
      </c>
      <c r="T210" s="278">
        <f>IF(T203&lt;0,1,0)</f>
        <v>0</v>
      </c>
      <c r="U210" s="293"/>
    </row>
    <row r="211" spans="1:21" ht="15" hidden="1" customHeight="1" outlineLevel="1">
      <c r="C211" s="102"/>
      <c r="D211" s="87"/>
      <c r="E211" s="61"/>
      <c r="G211" s="61"/>
      <c r="H211" s="61"/>
      <c r="I211" s="92"/>
      <c r="J211" s="91"/>
      <c r="K211" s="91"/>
      <c r="L211" s="91"/>
      <c r="M211" s="91"/>
      <c r="N211" s="91"/>
      <c r="O211" s="91"/>
    </row>
    <row r="212" spans="1:21" ht="15" hidden="1" customHeight="1" outlineLevel="1">
      <c r="C212" s="21" t="s">
        <v>206</v>
      </c>
      <c r="D212" s="87"/>
      <c r="E212" s="61"/>
      <c r="G212" s="61"/>
      <c r="H212" s="61"/>
      <c r="I212" s="92"/>
      <c r="J212" s="91"/>
      <c r="K212" s="350">
        <f t="shared" ref="K212:T212" si="100">K187+K192</f>
        <v>83303.621377161209</v>
      </c>
      <c r="L212" s="351">
        <f t="shared" si="100"/>
        <v>0</v>
      </c>
      <c r="M212" s="351">
        <f t="shared" si="100"/>
        <v>0</v>
      </c>
      <c r="N212" s="351">
        <f t="shared" si="100"/>
        <v>52349.300877506517</v>
      </c>
      <c r="O212" s="351">
        <f t="shared" si="100"/>
        <v>284582.81684257905</v>
      </c>
      <c r="P212" s="351">
        <f t="shared" si="100"/>
        <v>582053.08461321273</v>
      </c>
      <c r="Q212" s="351">
        <f t="shared" si="100"/>
        <v>1245119.6540829227</v>
      </c>
      <c r="R212" s="351">
        <f t="shared" si="100"/>
        <v>2185769.8847802761</v>
      </c>
      <c r="S212" s="351">
        <f t="shared" si="100"/>
        <v>3283309.4834122919</v>
      </c>
      <c r="T212" s="352">
        <f t="shared" si="100"/>
        <v>4666535.4456374794</v>
      </c>
    </row>
    <row r="213" spans="1:21" ht="15" hidden="1" customHeight="1" outlineLevel="1">
      <c r="B213" s="139"/>
      <c r="C213" s="139"/>
      <c r="D213" s="140"/>
      <c r="E213" s="139"/>
      <c r="F213" s="139"/>
      <c r="G213" s="139"/>
      <c r="H213" s="139"/>
      <c r="I213" s="139"/>
      <c r="J213" s="139"/>
      <c r="K213" s="139"/>
      <c r="L213" s="139"/>
      <c r="M213" s="139"/>
      <c r="N213" s="139"/>
      <c r="O213" s="139"/>
      <c r="P213" s="139"/>
      <c r="Q213" s="139"/>
      <c r="R213" s="139"/>
      <c r="S213" s="139"/>
      <c r="T213" s="224"/>
    </row>
    <row r="214" spans="1:21" ht="15" customHeight="1" collapsed="1">
      <c r="B214" s="67"/>
      <c r="C214" s="67"/>
      <c r="D214" s="98"/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220"/>
    </row>
    <row r="215" spans="1:21" ht="15" customHeight="1">
      <c r="A215" s="215" t="s">
        <v>39</v>
      </c>
      <c r="B215" s="515" t="s">
        <v>422</v>
      </c>
      <c r="C215" s="516"/>
      <c r="D215" s="517"/>
      <c r="E215" s="605"/>
      <c r="F215" s="606"/>
      <c r="G215" s="606"/>
      <c r="H215" s="606"/>
      <c r="I215" s="606"/>
      <c r="J215" s="606"/>
      <c r="K215" s="606"/>
      <c r="L215" s="606"/>
      <c r="M215" s="606"/>
      <c r="N215" s="606"/>
      <c r="O215" s="606"/>
      <c r="P215" s="606"/>
      <c r="Q215" s="606"/>
      <c r="R215" s="606"/>
      <c r="S215" s="606"/>
      <c r="T215" s="606"/>
    </row>
    <row r="216" spans="1:21" ht="15" hidden="1" customHeight="1" outlineLevel="1">
      <c r="B216" s="70"/>
      <c r="C216" s="71"/>
      <c r="D216" s="72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</row>
    <row r="217" spans="1:21" ht="15" hidden="1" customHeight="1" outlineLevel="1" thickBot="1">
      <c r="B217" s="10" t="s">
        <v>8</v>
      </c>
      <c r="C217" s="71"/>
      <c r="D217" s="74"/>
      <c r="E217" s="74"/>
      <c r="F217" s="74"/>
      <c r="G217" s="74"/>
      <c r="H217" s="131"/>
      <c r="I217" s="11"/>
      <c r="J217" s="612">
        <f>$J$5</f>
        <v>2024</v>
      </c>
      <c r="K217" s="577">
        <f>$K$5</f>
        <v>2025</v>
      </c>
      <c r="L217" s="577">
        <f>$L$5</f>
        <v>2026</v>
      </c>
      <c r="M217" s="577">
        <f>$M$5</f>
        <v>2027</v>
      </c>
      <c r="N217" s="577">
        <f>$N$5</f>
        <v>2028</v>
      </c>
      <c r="O217" s="577">
        <f>$O$5</f>
        <v>2029</v>
      </c>
      <c r="P217" s="577">
        <f>$P$5</f>
        <v>2030</v>
      </c>
      <c r="Q217" s="577">
        <f>$Q$5</f>
        <v>2031</v>
      </c>
      <c r="R217" s="577">
        <f>$R$5</f>
        <v>2032</v>
      </c>
      <c r="S217" s="577">
        <f>$S$5</f>
        <v>2033</v>
      </c>
      <c r="T217" s="577">
        <f>$T$5</f>
        <v>2034</v>
      </c>
    </row>
    <row r="218" spans="1:21" ht="15" hidden="1" customHeight="1" outlineLevel="1">
      <c r="B218" s="10" t="str">
        <f>$B$6</f>
        <v>Model Running: Base Case Drivers</v>
      </c>
      <c r="C218" s="71"/>
      <c r="D218" s="74"/>
      <c r="E218" s="74"/>
      <c r="F218" s="74"/>
      <c r="G218" s="74"/>
      <c r="H218" s="131"/>
      <c r="I218" s="11"/>
      <c r="J218" s="74"/>
      <c r="K218" s="74"/>
      <c r="L218" s="74"/>
      <c r="M218" s="74"/>
      <c r="N218" s="74"/>
      <c r="O218" s="74"/>
      <c r="P218" s="28"/>
      <c r="Q218" s="28"/>
      <c r="R218" s="28"/>
      <c r="S218" s="28"/>
      <c r="T218" s="28"/>
    </row>
    <row r="219" spans="1:21" ht="15" hidden="1" customHeight="1" outlineLevel="1">
      <c r="B219" s="10"/>
      <c r="C219" s="71"/>
      <c r="D219" s="74"/>
      <c r="E219" s="74"/>
      <c r="F219" s="74"/>
      <c r="G219" s="74"/>
      <c r="H219" s="131"/>
      <c r="I219" s="11"/>
      <c r="J219" s="74"/>
      <c r="K219" s="74"/>
      <c r="L219" s="74"/>
      <c r="M219" s="74"/>
      <c r="N219" s="74"/>
      <c r="O219" s="74"/>
      <c r="P219" s="28"/>
      <c r="Q219" s="28"/>
      <c r="R219" s="28"/>
      <c r="S219" s="28"/>
      <c r="T219" s="28"/>
    </row>
    <row r="220" spans="1:21" ht="15" hidden="1" customHeight="1" outlineLevel="1">
      <c r="B220" s="21" t="s">
        <v>380</v>
      </c>
      <c r="C220" s="71"/>
      <c r="D220" s="74"/>
      <c r="E220" s="74"/>
      <c r="F220" s="74"/>
      <c r="G220" s="74"/>
      <c r="H220" s="20"/>
      <c r="I220" s="69"/>
      <c r="J220" s="346"/>
      <c r="K220" s="482">
        <f>'Forecasting Assumptions'!G65</f>
        <v>4.2500000000000003E-2</v>
      </c>
      <c r="L220" s="483">
        <f>'Forecasting Assumptions'!H65</f>
        <v>3.7499999999999999E-2</v>
      </c>
      <c r="M220" s="483">
        <f>'Forecasting Assumptions'!I65</f>
        <v>3.5000000000000003E-2</v>
      </c>
      <c r="N220" s="483">
        <f>'Forecasting Assumptions'!J65</f>
        <v>3.2500000000000001E-2</v>
      </c>
      <c r="O220" s="483">
        <f>'Forecasting Assumptions'!K65</f>
        <v>0.03</v>
      </c>
      <c r="P220" s="483">
        <f>'Forecasting Assumptions'!L65</f>
        <v>0.03</v>
      </c>
      <c r="Q220" s="483">
        <f>'Forecasting Assumptions'!M65</f>
        <v>0.03</v>
      </c>
      <c r="R220" s="483">
        <f>'Forecasting Assumptions'!N65</f>
        <v>0.03</v>
      </c>
      <c r="S220" s="483">
        <f>'Forecasting Assumptions'!O65</f>
        <v>0.03</v>
      </c>
      <c r="T220" s="484">
        <f>'Forecasting Assumptions'!P65</f>
        <v>0.03</v>
      </c>
    </row>
    <row r="221" spans="1:21" ht="15" hidden="1" customHeight="1" outlineLevel="1">
      <c r="B221" s="61"/>
      <c r="D221" s="87"/>
      <c r="E221" s="61"/>
      <c r="G221" s="61"/>
      <c r="I221" s="92"/>
      <c r="J221" s="91"/>
      <c r="K221" s="91"/>
      <c r="L221" s="91"/>
      <c r="M221" s="91"/>
      <c r="N221" s="91"/>
      <c r="O221" s="91"/>
      <c r="P221" s="91"/>
      <c r="Q221" s="353"/>
      <c r="R221" s="91"/>
      <c r="S221" s="91"/>
      <c r="T221" s="91"/>
    </row>
    <row r="222" spans="1:21" ht="15" hidden="1" customHeight="1" outlineLevel="1">
      <c r="B222" s="61"/>
      <c r="C222" s="61"/>
      <c r="D222" s="87"/>
      <c r="E222" s="61"/>
      <c r="G222" s="61"/>
      <c r="I222" s="92"/>
      <c r="J222" s="91"/>
      <c r="K222" s="91"/>
      <c r="L222" s="91"/>
      <c r="M222" s="91"/>
      <c r="N222" s="91"/>
      <c r="O222" s="91"/>
      <c r="P222"/>
      <c r="Q222"/>
      <c r="R222"/>
      <c r="S222"/>
      <c r="T222"/>
    </row>
    <row r="223" spans="1:21" ht="15" hidden="1" customHeight="1" outlineLevel="1">
      <c r="B223" s="104" t="s">
        <v>176</v>
      </c>
      <c r="C223" s="67"/>
      <c r="I223" s="91"/>
      <c r="J223" s="91"/>
      <c r="K223" s="91"/>
      <c r="L223" s="91"/>
      <c r="M223" s="91"/>
      <c r="N223" s="91"/>
      <c r="O223" s="91"/>
      <c r="P223" s="91"/>
      <c r="Q223" s="75"/>
      <c r="R223" s="75"/>
      <c r="S223" s="75"/>
      <c r="T223" s="75"/>
    </row>
    <row r="224" spans="1:21" ht="15" hidden="1" customHeight="1" outlineLevel="1">
      <c r="C224" s="21" t="s">
        <v>74</v>
      </c>
      <c r="E224" s="105"/>
      <c r="G224" s="105"/>
      <c r="I224" s="124"/>
      <c r="J224" s="124"/>
      <c r="K224" s="460">
        <f>'Transaction Assumptions'!D48</f>
        <v>0.1</v>
      </c>
      <c r="L224" s="461">
        <f>'Transaction Assumptions'!E48</f>
        <v>0.1</v>
      </c>
      <c r="M224" s="461">
        <f>'Transaction Assumptions'!F48</f>
        <v>0.1</v>
      </c>
      <c r="N224" s="461">
        <f>'Transaction Assumptions'!G48</f>
        <v>0.1</v>
      </c>
      <c r="O224" s="461">
        <f>'Transaction Assumptions'!H48</f>
        <v>0.1</v>
      </c>
      <c r="P224" s="461">
        <f>'Transaction Assumptions'!I48</f>
        <v>0.1</v>
      </c>
      <c r="Q224" s="461">
        <f>'Transaction Assumptions'!J48</f>
        <v>0.1</v>
      </c>
      <c r="R224" s="461">
        <f>'Transaction Assumptions'!K48</f>
        <v>0.1</v>
      </c>
      <c r="S224" s="461">
        <f>'Transaction Assumptions'!L48</f>
        <v>0.1</v>
      </c>
      <c r="T224" s="462">
        <f>'Transaction Assumptions'!M48</f>
        <v>0.1</v>
      </c>
    </row>
    <row r="225" spans="1:20" ht="15" hidden="1" customHeight="1" outlineLevel="1">
      <c r="C225" s="21" t="s">
        <v>206</v>
      </c>
      <c r="D225" s="87"/>
      <c r="E225" s="61"/>
      <c r="G225" s="61"/>
      <c r="H225" s="61"/>
      <c r="I225" s="92"/>
      <c r="J225" s="91"/>
      <c r="K225" s="354">
        <f t="shared" ref="K225:T225" si="101">K212</f>
        <v>83303.621377161209</v>
      </c>
      <c r="L225" s="91">
        <f t="shared" si="101"/>
        <v>0</v>
      </c>
      <c r="M225" s="91">
        <f t="shared" si="101"/>
        <v>0</v>
      </c>
      <c r="N225" s="91">
        <f t="shared" si="101"/>
        <v>52349.300877506517</v>
      </c>
      <c r="O225" s="91">
        <f t="shared" si="101"/>
        <v>284582.81684257905</v>
      </c>
      <c r="P225" s="91">
        <f t="shared" si="101"/>
        <v>582053.08461321273</v>
      </c>
      <c r="Q225" s="91">
        <f t="shared" si="101"/>
        <v>1245119.6540829227</v>
      </c>
      <c r="R225" s="91">
        <f t="shared" si="101"/>
        <v>2185769.8847802761</v>
      </c>
      <c r="S225" s="91">
        <f t="shared" si="101"/>
        <v>3283309.4834122919</v>
      </c>
      <c r="T225" s="355">
        <f t="shared" si="101"/>
        <v>4666535.4456374794</v>
      </c>
    </row>
    <row r="226" spans="1:20" ht="15" hidden="1" customHeight="1" outlineLevel="1">
      <c r="C226" s="21" t="s">
        <v>103</v>
      </c>
      <c r="D226" s="87"/>
      <c r="E226" s="61"/>
      <c r="G226" s="61"/>
      <c r="H226" s="61"/>
      <c r="I226" s="92"/>
      <c r="J226" s="91"/>
      <c r="K226" s="356">
        <f>IF(K225&gt;0,1,0)</f>
        <v>1</v>
      </c>
      <c r="L226" s="357">
        <f t="shared" ref="L226:T226" si="102">IF(L225&gt;0,1,0)</f>
        <v>0</v>
      </c>
      <c r="M226" s="357">
        <f t="shared" si="102"/>
        <v>0</v>
      </c>
      <c r="N226" s="357">
        <f t="shared" si="102"/>
        <v>1</v>
      </c>
      <c r="O226" s="357">
        <f t="shared" si="102"/>
        <v>1</v>
      </c>
      <c r="P226" s="357">
        <f t="shared" si="102"/>
        <v>1</v>
      </c>
      <c r="Q226" s="357">
        <f t="shared" si="102"/>
        <v>1</v>
      </c>
      <c r="R226" s="357">
        <f t="shared" si="102"/>
        <v>1</v>
      </c>
      <c r="S226" s="357">
        <f t="shared" si="102"/>
        <v>1</v>
      </c>
      <c r="T226" s="358">
        <f t="shared" si="102"/>
        <v>1</v>
      </c>
    </row>
    <row r="227" spans="1:20" ht="15" hidden="1" customHeight="1" outlineLevel="1">
      <c r="C227" s="21"/>
      <c r="G227" s="67"/>
      <c r="I227" s="124"/>
      <c r="J227" s="124"/>
      <c r="K227" s="124"/>
      <c r="L227" s="124"/>
      <c r="M227" s="124"/>
      <c r="N227" s="124"/>
      <c r="O227" s="124"/>
      <c r="P227" s="164"/>
      <c r="Q227" s="164"/>
      <c r="R227" s="164"/>
      <c r="S227" s="164"/>
      <c r="T227" s="164"/>
    </row>
    <row r="228" spans="1:20" ht="15" hidden="1" customHeight="1" outlineLevel="1">
      <c r="C228" s="21" t="s">
        <v>6</v>
      </c>
      <c r="E228" s="61"/>
      <c r="G228" s="61"/>
      <c r="H228" s="305"/>
      <c r="I228" s="92"/>
      <c r="J228" s="91"/>
      <c r="K228" s="91">
        <f>J231</f>
        <v>540831.4156519199</v>
      </c>
      <c r="L228" s="91">
        <f>K231</f>
        <v>403444.65270956664</v>
      </c>
      <c r="M228" s="91">
        <f t="shared" ref="M228:T228" si="103">L231</f>
        <v>349361.51114437461</v>
      </c>
      <c r="N228" s="91">
        <f t="shared" si="103"/>
        <v>295278.36957918259</v>
      </c>
      <c r="O228" s="91">
        <f t="shared" si="103"/>
        <v>188845.92713648407</v>
      </c>
      <c r="P228" s="91">
        <f t="shared" si="103"/>
        <v>0</v>
      </c>
      <c r="Q228" s="91">
        <f t="shared" si="103"/>
        <v>0</v>
      </c>
      <c r="R228" s="91">
        <f t="shared" si="103"/>
        <v>0</v>
      </c>
      <c r="S228" s="91">
        <f t="shared" si="103"/>
        <v>0</v>
      </c>
      <c r="T228" s="91">
        <f t="shared" si="103"/>
        <v>0</v>
      </c>
    </row>
    <row r="229" spans="1:20" ht="15" hidden="1" customHeight="1" outlineLevel="1">
      <c r="C229" s="21" t="s">
        <v>75</v>
      </c>
      <c r="E229" s="61"/>
      <c r="G229" s="61"/>
      <c r="H229" s="305" t="s">
        <v>159</v>
      </c>
      <c r="I229" s="92"/>
      <c r="J229" s="91"/>
      <c r="K229" s="91">
        <f>-MIN($J$231*K224,K228)</f>
        <v>-54083.141565191996</v>
      </c>
      <c r="L229" s="91">
        <f t="shared" ref="L229:T229" si="104">-MIN($J$231*L224,L228)</f>
        <v>-54083.141565191996</v>
      </c>
      <c r="M229" s="91">
        <f t="shared" si="104"/>
        <v>-54083.141565191996</v>
      </c>
      <c r="N229" s="91">
        <f t="shared" si="104"/>
        <v>-54083.141565191996</v>
      </c>
      <c r="O229" s="91">
        <f t="shared" si="104"/>
        <v>-54083.141565191996</v>
      </c>
      <c r="P229" s="91">
        <f t="shared" si="104"/>
        <v>0</v>
      </c>
      <c r="Q229" s="91">
        <f t="shared" si="104"/>
        <v>0</v>
      </c>
      <c r="R229" s="91">
        <f t="shared" si="104"/>
        <v>0</v>
      </c>
      <c r="S229" s="91">
        <f t="shared" si="104"/>
        <v>0</v>
      </c>
      <c r="T229" s="91">
        <f t="shared" si="104"/>
        <v>0</v>
      </c>
    </row>
    <row r="230" spans="1:20" ht="15" hidden="1" customHeight="1" outlineLevel="1">
      <c r="C230" s="21" t="s">
        <v>76</v>
      </c>
      <c r="E230" s="61"/>
      <c r="G230" s="61"/>
      <c r="H230" s="327">
        <f>'Transaction Assumptions'!$C$48</f>
        <v>1</v>
      </c>
      <c r="I230" s="92"/>
      <c r="J230" s="133"/>
      <c r="K230" s="133">
        <f>-MIN(K$225*$H230,K228+K229)*K$226</f>
        <v>-83303.621377161209</v>
      </c>
      <c r="L230" s="133">
        <f t="shared" ref="L230:T230" si="105">-MIN(L$225*$H230,L228+L229)*L$226</f>
        <v>0</v>
      </c>
      <c r="M230" s="133">
        <f t="shared" si="105"/>
        <v>0</v>
      </c>
      <c r="N230" s="133">
        <f t="shared" si="105"/>
        <v>-52349.300877506517</v>
      </c>
      <c r="O230" s="133">
        <f t="shared" si="105"/>
        <v>-134762.78557129207</v>
      </c>
      <c r="P230" s="133">
        <f t="shared" si="105"/>
        <v>0</v>
      </c>
      <c r="Q230" s="133">
        <f t="shared" si="105"/>
        <v>0</v>
      </c>
      <c r="R230" s="133">
        <f>-MIN(R$225*$H230,R228+R229)*R$226</f>
        <v>0</v>
      </c>
      <c r="S230" s="133">
        <f t="shared" si="105"/>
        <v>0</v>
      </c>
      <c r="T230" s="133">
        <f t="shared" si="105"/>
        <v>0</v>
      </c>
    </row>
    <row r="231" spans="1:20" ht="15" hidden="1" customHeight="1" outlineLevel="1">
      <c r="C231" s="13" t="s">
        <v>7</v>
      </c>
      <c r="D231" s="87"/>
      <c r="E231" s="61"/>
      <c r="G231" s="61"/>
      <c r="H231" s="67"/>
      <c r="I231" s="92"/>
      <c r="J231" s="345">
        <f>'Transaction Assumptions'!C40</f>
        <v>540831.4156519199</v>
      </c>
      <c r="K231" s="345">
        <f>SUM(K228:K230)</f>
        <v>403444.65270956664</v>
      </c>
      <c r="L231" s="345">
        <f t="shared" ref="L231:T231" si="106">SUM(L228:L230)</f>
        <v>349361.51114437461</v>
      </c>
      <c r="M231" s="345">
        <f t="shared" si="106"/>
        <v>295278.36957918259</v>
      </c>
      <c r="N231" s="345">
        <f t="shared" si="106"/>
        <v>188845.92713648407</v>
      </c>
      <c r="O231" s="345">
        <f t="shared" si="106"/>
        <v>0</v>
      </c>
      <c r="P231" s="345">
        <f t="shared" si="106"/>
        <v>0</v>
      </c>
      <c r="Q231" s="345">
        <f t="shared" si="106"/>
        <v>0</v>
      </c>
      <c r="R231" s="345">
        <f t="shared" si="106"/>
        <v>0</v>
      </c>
      <c r="S231" s="345">
        <f t="shared" si="106"/>
        <v>0</v>
      </c>
      <c r="T231" s="345">
        <f t="shared" si="106"/>
        <v>0</v>
      </c>
    </row>
    <row r="232" spans="1:20" ht="15" hidden="1" customHeight="1" outlineLevel="1">
      <c r="B232" s="102"/>
      <c r="C232" s="61"/>
      <c r="D232" s="87"/>
      <c r="E232" s="61"/>
      <c r="G232" s="61"/>
      <c r="H232" s="67"/>
      <c r="I232" s="92"/>
      <c r="J232" s="91"/>
      <c r="K232" s="91"/>
      <c r="L232" s="91"/>
      <c r="M232" s="91"/>
      <c r="N232" s="91"/>
      <c r="O232" s="91"/>
      <c r="P232" s="91"/>
      <c r="Q232" s="75"/>
      <c r="R232" s="75"/>
      <c r="S232" s="75"/>
      <c r="T232" s="75"/>
    </row>
    <row r="233" spans="1:20" ht="15" hidden="1" customHeight="1" outlineLevel="1">
      <c r="B233" s="102"/>
      <c r="C233" s="21" t="s">
        <v>151</v>
      </c>
      <c r="D233" s="87"/>
      <c r="E233" s="61"/>
      <c r="G233" s="61"/>
      <c r="H233" s="67"/>
      <c r="I233" s="92"/>
      <c r="J233" s="91"/>
      <c r="K233" s="411">
        <f>'Transaction Assumptions'!$F$40/10000</f>
        <v>2.75E-2</v>
      </c>
      <c r="L233" s="411">
        <f>'Transaction Assumptions'!$F$40/10000</f>
        <v>2.75E-2</v>
      </c>
      <c r="M233" s="411">
        <f>'Transaction Assumptions'!$F$40/10000</f>
        <v>2.75E-2</v>
      </c>
      <c r="N233" s="411">
        <f>'Transaction Assumptions'!$F$40/10000</f>
        <v>2.75E-2</v>
      </c>
      <c r="O233" s="411">
        <f>'Transaction Assumptions'!$F$40/10000</f>
        <v>2.75E-2</v>
      </c>
      <c r="P233" s="411">
        <f>'Transaction Assumptions'!$F$40/10000</f>
        <v>2.75E-2</v>
      </c>
      <c r="Q233" s="411">
        <f>'Transaction Assumptions'!$F$40/10000</f>
        <v>2.75E-2</v>
      </c>
      <c r="R233" s="411">
        <f>'Transaction Assumptions'!$F$40/10000</f>
        <v>2.75E-2</v>
      </c>
      <c r="S233" s="411">
        <f>'Transaction Assumptions'!$F$40/10000</f>
        <v>2.75E-2</v>
      </c>
      <c r="T233" s="411">
        <f>'Transaction Assumptions'!$F$40/10000</f>
        <v>2.75E-2</v>
      </c>
    </row>
    <row r="234" spans="1:20" ht="15" hidden="1" customHeight="1" outlineLevel="1">
      <c r="B234" s="102"/>
      <c r="C234" s="21" t="s">
        <v>146</v>
      </c>
      <c r="D234" s="87"/>
      <c r="E234" s="61"/>
      <c r="F234" s="61"/>
      <c r="G234" s="61"/>
      <c r="H234" s="305" t="s">
        <v>126</v>
      </c>
      <c r="I234" s="92"/>
      <c r="J234" s="353"/>
      <c r="K234" s="411">
        <f>K220+K233</f>
        <v>7.0000000000000007E-2</v>
      </c>
      <c r="L234" s="411">
        <f t="shared" ref="L234:T234" si="107">L220+L233</f>
        <v>6.5000000000000002E-2</v>
      </c>
      <c r="M234" s="411">
        <f t="shared" si="107"/>
        <v>6.25E-2</v>
      </c>
      <c r="N234" s="411">
        <f t="shared" si="107"/>
        <v>0.06</v>
      </c>
      <c r="O234" s="411">
        <f t="shared" si="107"/>
        <v>5.7499999999999996E-2</v>
      </c>
      <c r="P234" s="411">
        <f t="shared" si="107"/>
        <v>5.7499999999999996E-2</v>
      </c>
      <c r="Q234" s="411">
        <f t="shared" si="107"/>
        <v>5.7499999999999996E-2</v>
      </c>
      <c r="R234" s="411">
        <f t="shared" si="107"/>
        <v>5.7499999999999996E-2</v>
      </c>
      <c r="S234" s="411">
        <f t="shared" si="107"/>
        <v>5.7499999999999996E-2</v>
      </c>
      <c r="T234" s="411">
        <f t="shared" si="107"/>
        <v>5.7499999999999996E-2</v>
      </c>
    </row>
    <row r="235" spans="1:20" ht="15" hidden="1" customHeight="1" outlineLevel="1">
      <c r="C235" s="21" t="s">
        <v>81</v>
      </c>
      <c r="D235" s="87"/>
      <c r="E235" s="61"/>
      <c r="G235" s="61"/>
      <c r="H235" s="325">
        <f>Cover!$D$19</f>
        <v>2</v>
      </c>
      <c r="I235" s="92"/>
      <c r="J235" s="91"/>
      <c r="K235" s="91">
        <f>IF($H$235=1,AVERAGE(K231,K228)*K234,K228*K234)</f>
        <v>37858.199095634394</v>
      </c>
      <c r="L235" s="91">
        <f t="shared" ref="L235:T235" si="108">IF($H$235=1,AVERAGE(L231,L228)*L234,L228*L234)</f>
        <v>26223.902426121833</v>
      </c>
      <c r="M235" s="91">
        <f t="shared" si="108"/>
        <v>21835.094446523413</v>
      </c>
      <c r="N235" s="91">
        <f t="shared" si="108"/>
        <v>17716.702174750953</v>
      </c>
      <c r="O235" s="91">
        <f t="shared" si="108"/>
        <v>10858.640810347833</v>
      </c>
      <c r="P235" s="91">
        <f t="shared" si="108"/>
        <v>0</v>
      </c>
      <c r="Q235" s="91">
        <f t="shared" si="108"/>
        <v>0</v>
      </c>
      <c r="R235" s="91">
        <f t="shared" si="108"/>
        <v>0</v>
      </c>
      <c r="S235" s="91">
        <f t="shared" si="108"/>
        <v>0</v>
      </c>
      <c r="T235" s="91">
        <f t="shared" si="108"/>
        <v>0</v>
      </c>
    </row>
    <row r="236" spans="1:20" ht="15" hidden="1" customHeight="1" outlineLevel="1">
      <c r="B236" s="101"/>
      <c r="C236" s="101"/>
      <c r="D236" s="101"/>
      <c r="E236" s="101"/>
      <c r="F236" s="101"/>
      <c r="G236" s="101"/>
      <c r="H236" s="101"/>
      <c r="I236" s="101"/>
      <c r="J236" s="101"/>
      <c r="K236" s="101"/>
      <c r="L236" s="101"/>
      <c r="M236" s="101"/>
      <c r="N236" s="101"/>
      <c r="O236" s="101"/>
      <c r="P236" s="101"/>
      <c r="Q236" s="101"/>
      <c r="R236" s="101"/>
      <c r="S236" s="101"/>
      <c r="T236" s="101"/>
    </row>
    <row r="237" spans="1:20" ht="15" customHeight="1" collapsed="1">
      <c r="B237" s="67"/>
      <c r="C237" s="67"/>
      <c r="E237" s="67"/>
      <c r="F237" s="98"/>
      <c r="G237" s="67"/>
      <c r="H237" s="91"/>
      <c r="I237" s="91"/>
      <c r="J237" s="91"/>
      <c r="K237" s="91"/>
      <c r="L237" s="91"/>
      <c r="M237" s="91"/>
      <c r="N237" s="91"/>
      <c r="O237" s="91"/>
      <c r="P237" s="91"/>
      <c r="Q237" s="75"/>
      <c r="R237" s="75"/>
      <c r="S237" s="75"/>
      <c r="T237" s="75"/>
    </row>
    <row r="238" spans="1:20" ht="15" customHeight="1">
      <c r="A238" s="215" t="s">
        <v>39</v>
      </c>
      <c r="B238" s="515" t="s">
        <v>427</v>
      </c>
      <c r="C238" s="516"/>
      <c r="D238" s="517"/>
      <c r="E238" s="605"/>
      <c r="F238" s="606"/>
      <c r="G238" s="606"/>
      <c r="H238" s="606"/>
      <c r="I238" s="606"/>
      <c r="J238" s="606"/>
      <c r="K238" s="606"/>
      <c r="L238" s="606"/>
      <c r="M238" s="606"/>
      <c r="N238" s="606"/>
      <c r="O238" s="606"/>
      <c r="P238" s="606"/>
      <c r="Q238" s="606"/>
      <c r="R238" s="606"/>
      <c r="S238" s="606"/>
      <c r="T238" s="606"/>
    </row>
    <row r="239" spans="1:20" ht="15" hidden="1" customHeight="1" outlineLevel="1">
      <c r="B239" s="70"/>
      <c r="C239" s="71"/>
      <c r="D239" s="72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</row>
    <row r="240" spans="1:20" ht="15" hidden="1" customHeight="1" outlineLevel="1" thickBot="1">
      <c r="B240" s="10" t="s">
        <v>8</v>
      </c>
      <c r="C240" s="71"/>
      <c r="D240" s="74"/>
      <c r="E240" s="74"/>
      <c r="F240" s="74"/>
      <c r="G240" s="74"/>
      <c r="H240" s="131"/>
      <c r="I240" s="11"/>
      <c r="J240" s="612">
        <f>$J$5</f>
        <v>2024</v>
      </c>
      <c r="K240" s="577">
        <f>$K$5</f>
        <v>2025</v>
      </c>
      <c r="L240" s="577">
        <f>$L$5</f>
        <v>2026</v>
      </c>
      <c r="M240" s="577">
        <f>$M$5</f>
        <v>2027</v>
      </c>
      <c r="N240" s="577">
        <f>$N$5</f>
        <v>2028</v>
      </c>
      <c r="O240" s="577">
        <f>$O$5</f>
        <v>2029</v>
      </c>
      <c r="P240" s="577">
        <f>$P$5</f>
        <v>2030</v>
      </c>
      <c r="Q240" s="577">
        <f>$Q$5</f>
        <v>2031</v>
      </c>
      <c r="R240" s="577">
        <f>$R$5</f>
        <v>2032</v>
      </c>
      <c r="S240" s="577">
        <f>$S$5</f>
        <v>2033</v>
      </c>
      <c r="T240" s="577">
        <f>$T$5</f>
        <v>2034</v>
      </c>
    </row>
    <row r="241" spans="2:20" ht="15" hidden="1" customHeight="1" outlineLevel="1">
      <c r="B241" s="10" t="str">
        <f>$B$6</f>
        <v>Model Running: Base Case Drivers</v>
      </c>
      <c r="C241" s="71"/>
      <c r="D241" s="74"/>
      <c r="E241" s="74"/>
      <c r="F241" s="74"/>
      <c r="G241" s="74"/>
      <c r="H241" s="131"/>
      <c r="I241" s="11"/>
      <c r="J241" s="74"/>
      <c r="K241" s="74"/>
      <c r="L241" s="74"/>
      <c r="M241" s="74"/>
      <c r="N241" s="74"/>
      <c r="O241" s="74"/>
      <c r="P241" s="28"/>
      <c r="Q241" s="28"/>
      <c r="R241" s="28"/>
      <c r="S241" s="28"/>
      <c r="T241" s="28"/>
    </row>
    <row r="242" spans="2:20" ht="15" hidden="1" customHeight="1" outlineLevel="1">
      <c r="B242" s="10"/>
      <c r="C242" s="71"/>
      <c r="D242" s="74"/>
      <c r="E242" s="74"/>
      <c r="F242" s="74"/>
      <c r="G242" s="74"/>
      <c r="H242" s="131"/>
      <c r="I242" s="11"/>
      <c r="J242" s="74"/>
      <c r="K242" s="74"/>
      <c r="L242" s="74"/>
      <c r="M242" s="74"/>
      <c r="N242" s="74"/>
      <c r="O242" s="74"/>
      <c r="P242" s="28"/>
      <c r="Q242" s="28"/>
      <c r="R242" s="28"/>
      <c r="S242" s="28"/>
      <c r="T242" s="28"/>
    </row>
    <row r="243" spans="2:20" ht="15" hidden="1" customHeight="1" outlineLevel="1">
      <c r="B243" s="104" t="s">
        <v>181</v>
      </c>
      <c r="C243" s="67"/>
      <c r="E243" s="67"/>
      <c r="G243" s="67"/>
      <c r="H243" s="74"/>
      <c r="I243" s="91"/>
      <c r="J243" s="91"/>
      <c r="K243" s="91"/>
      <c r="L243" s="91"/>
      <c r="M243" s="91"/>
      <c r="N243" s="91"/>
      <c r="O243" s="91"/>
      <c r="P243" s="91"/>
      <c r="Q243" s="75"/>
      <c r="R243" s="75"/>
      <c r="S243" s="75"/>
      <c r="T243" s="75"/>
    </row>
    <row r="244" spans="2:20" ht="15" hidden="1" customHeight="1" outlineLevel="1">
      <c r="C244" s="21" t="s">
        <v>74</v>
      </c>
      <c r="E244" s="105"/>
      <c r="G244" s="105"/>
      <c r="H244" s="106"/>
      <c r="I244" s="124"/>
      <c r="J244" s="124"/>
      <c r="K244" s="457">
        <f>'Transaction Assumptions'!D47</f>
        <v>0</v>
      </c>
      <c r="L244" s="458">
        <f>'Transaction Assumptions'!E47</f>
        <v>0</v>
      </c>
      <c r="M244" s="458">
        <f>'Transaction Assumptions'!F47</f>
        <v>0</v>
      </c>
      <c r="N244" s="458">
        <f>'Transaction Assumptions'!G47</f>
        <v>0</v>
      </c>
      <c r="O244" s="458">
        <f>'Transaction Assumptions'!H47</f>
        <v>0</v>
      </c>
      <c r="P244" s="458">
        <f>'Transaction Assumptions'!I47</f>
        <v>0</v>
      </c>
      <c r="Q244" s="458">
        <f>'Transaction Assumptions'!J47</f>
        <v>0</v>
      </c>
      <c r="R244" s="458">
        <f>'Transaction Assumptions'!K47</f>
        <v>0</v>
      </c>
      <c r="S244" s="458">
        <f>'Transaction Assumptions'!L47</f>
        <v>0</v>
      </c>
      <c r="T244" s="459">
        <f>'Transaction Assumptions'!M47</f>
        <v>0</v>
      </c>
    </row>
    <row r="245" spans="2:20" ht="15" hidden="1" customHeight="1" outlineLevel="1">
      <c r="C245" s="21"/>
      <c r="E245" s="105"/>
      <c r="G245" s="105"/>
      <c r="H245" s="106"/>
      <c r="I245" s="124"/>
      <c r="J245" s="124"/>
      <c r="K245" s="124"/>
      <c r="L245" s="124"/>
      <c r="M245" s="124"/>
      <c r="N245" s="124"/>
      <c r="O245" s="124"/>
      <c r="P245" s="124"/>
      <c r="Q245" s="124"/>
      <c r="R245" s="124"/>
      <c r="S245" s="124"/>
      <c r="T245" s="124"/>
    </row>
    <row r="246" spans="2:20" ht="15" hidden="1" customHeight="1" outlineLevel="1">
      <c r="C246" s="21" t="s">
        <v>6</v>
      </c>
      <c r="E246" s="67"/>
      <c r="G246" s="67"/>
      <c r="H246" s="98"/>
      <c r="I246" s="91"/>
      <c r="J246" s="91"/>
      <c r="K246" s="91">
        <f>J249</f>
        <v>1487286.3930427795</v>
      </c>
      <c r="L246" s="91">
        <f t="shared" ref="L246:T246" si="109">K249</f>
        <v>1598832.8725209881</v>
      </c>
      <c r="M246" s="91">
        <f t="shared" si="109"/>
        <v>1718745.3379600623</v>
      </c>
      <c r="N246" s="91">
        <f t="shared" si="109"/>
        <v>1847651.238307067</v>
      </c>
      <c r="O246" s="91">
        <f t="shared" si="109"/>
        <v>1986225.0811800971</v>
      </c>
      <c r="P246" s="91">
        <f t="shared" si="109"/>
        <v>2135191.9622686044</v>
      </c>
      <c r="Q246" s="91">
        <f t="shared" si="109"/>
        <v>2188571.7613253198</v>
      </c>
      <c r="R246" s="91">
        <f t="shared" si="109"/>
        <v>2243286.0553584527</v>
      </c>
      <c r="S246" s="91">
        <f t="shared" si="109"/>
        <v>2299368.2067424143</v>
      </c>
      <c r="T246" s="91">
        <f t="shared" si="109"/>
        <v>2356852.4119109744</v>
      </c>
    </row>
    <row r="247" spans="2:20" ht="15" hidden="1" customHeight="1" outlineLevel="1">
      <c r="C247" s="21" t="s">
        <v>75</v>
      </c>
      <c r="E247" s="67"/>
      <c r="G247" s="67"/>
      <c r="H247" s="98"/>
      <c r="I247" s="91"/>
      <c r="J247" s="91"/>
      <c r="K247" s="91">
        <f>-MIN($J$249*K244,K246)</f>
        <v>0</v>
      </c>
      <c r="L247" s="91">
        <f t="shared" ref="L247:S247" si="110">-MIN($J$249*L244,L246)</f>
        <v>0</v>
      </c>
      <c r="M247" s="91">
        <f t="shared" si="110"/>
        <v>0</v>
      </c>
      <c r="N247" s="91">
        <f t="shared" si="110"/>
        <v>0</v>
      </c>
      <c r="O247" s="91">
        <f t="shared" si="110"/>
        <v>0</v>
      </c>
      <c r="P247" s="91">
        <f t="shared" si="110"/>
        <v>0</v>
      </c>
      <c r="Q247" s="91">
        <f t="shared" si="110"/>
        <v>0</v>
      </c>
      <c r="R247" s="91">
        <f t="shared" si="110"/>
        <v>0</v>
      </c>
      <c r="S247" s="91">
        <f t="shared" si="110"/>
        <v>0</v>
      </c>
      <c r="T247" s="91">
        <f>-MIN($J$249*T244,T246)</f>
        <v>0</v>
      </c>
    </row>
    <row r="248" spans="2:20" ht="15" hidden="1" customHeight="1" outlineLevel="1">
      <c r="C248" s="21" t="s">
        <v>137</v>
      </c>
      <c r="E248" s="67"/>
      <c r="G248" s="67"/>
      <c r="H248" s="98"/>
      <c r="I248" s="91"/>
      <c r="J248" s="133"/>
      <c r="K248" s="133">
        <f>+K259</f>
        <v>111546.47947820848</v>
      </c>
      <c r="L248" s="133">
        <f t="shared" ref="L248:T248" si="111">+L259</f>
        <v>119912.46543907412</v>
      </c>
      <c r="M248" s="133">
        <f t="shared" si="111"/>
        <v>128905.90034700469</v>
      </c>
      <c r="N248" s="133">
        <f t="shared" si="111"/>
        <v>138573.84287303005</v>
      </c>
      <c r="O248" s="133">
        <f t="shared" si="111"/>
        <v>148966.8810885073</v>
      </c>
      <c r="P248" s="133">
        <f t="shared" si="111"/>
        <v>53379.799056715114</v>
      </c>
      <c r="Q248" s="133">
        <f t="shared" si="111"/>
        <v>54714.294033132996</v>
      </c>
      <c r="R248" s="133">
        <f t="shared" si="111"/>
        <v>56082.151383961318</v>
      </c>
      <c r="S248" s="133">
        <f t="shared" si="111"/>
        <v>57484.205168560358</v>
      </c>
      <c r="T248" s="133">
        <f t="shared" si="111"/>
        <v>58921.310297774362</v>
      </c>
    </row>
    <row r="249" spans="2:20" ht="15" hidden="1" customHeight="1" outlineLevel="1">
      <c r="C249" s="13" t="s">
        <v>7</v>
      </c>
      <c r="E249" s="67"/>
      <c r="G249" s="67"/>
      <c r="H249" s="98"/>
      <c r="I249" s="91"/>
      <c r="J249" s="345">
        <f>+'Transaction Assumptions'!C41</f>
        <v>1487286.3930427795</v>
      </c>
      <c r="K249" s="345">
        <f>SUM(K246:K248)</f>
        <v>1598832.8725209881</v>
      </c>
      <c r="L249" s="345">
        <f t="shared" ref="L249:T249" si="112">SUM(L246:L248)</f>
        <v>1718745.3379600623</v>
      </c>
      <c r="M249" s="345">
        <f t="shared" si="112"/>
        <v>1847651.238307067</v>
      </c>
      <c r="N249" s="345">
        <f t="shared" si="112"/>
        <v>1986225.0811800971</v>
      </c>
      <c r="O249" s="345">
        <f t="shared" si="112"/>
        <v>2135191.9622686044</v>
      </c>
      <c r="P249" s="345">
        <f t="shared" si="112"/>
        <v>2188571.7613253198</v>
      </c>
      <c r="Q249" s="345">
        <f t="shared" si="112"/>
        <v>2243286.0553584527</v>
      </c>
      <c r="R249" s="345">
        <f t="shared" si="112"/>
        <v>2299368.2067424143</v>
      </c>
      <c r="S249" s="345">
        <f t="shared" si="112"/>
        <v>2356852.4119109744</v>
      </c>
      <c r="T249" s="345">
        <f t="shared" si="112"/>
        <v>2415773.7222087486</v>
      </c>
    </row>
    <row r="250" spans="2:20" ht="15" hidden="1" customHeight="1" outlineLevel="1">
      <c r="C250" s="13"/>
      <c r="E250" s="67"/>
      <c r="G250" s="67"/>
      <c r="H250" s="98"/>
      <c r="I250" s="91"/>
      <c r="J250" s="91"/>
      <c r="K250" s="91"/>
      <c r="L250" s="91"/>
      <c r="M250" s="91"/>
      <c r="N250" s="91"/>
      <c r="O250" s="91"/>
      <c r="P250" s="91"/>
      <c r="Q250" s="91"/>
      <c r="R250" s="91"/>
      <c r="S250" s="91"/>
      <c r="T250" s="91"/>
    </row>
    <row r="251" spans="2:20" ht="15" hidden="1" customHeight="1" outlineLevel="1">
      <c r="C251" s="13"/>
      <c r="E251" s="67"/>
      <c r="G251" s="67"/>
      <c r="H251" s="98"/>
      <c r="I251" s="91"/>
      <c r="J251" s="91"/>
      <c r="K251" s="91"/>
      <c r="L251" s="91"/>
      <c r="M251" s="91"/>
      <c r="N251" s="91"/>
      <c r="O251" s="91"/>
      <c r="P251" s="91"/>
      <c r="Q251" s="91"/>
      <c r="R251" s="91"/>
      <c r="S251" s="91"/>
      <c r="T251" s="91"/>
    </row>
    <row r="252" spans="2:20" ht="15" hidden="1" customHeight="1" outlineLevel="1">
      <c r="C252" s="80" t="s">
        <v>146</v>
      </c>
      <c r="E252" s="67"/>
      <c r="G252" s="67"/>
      <c r="I252" s="91"/>
      <c r="J252" s="91"/>
      <c r="K252" s="359">
        <f>'Transaction Assumptions'!$G$41</f>
        <v>0.1</v>
      </c>
      <c r="L252" s="359">
        <f>'Transaction Assumptions'!$G$41</f>
        <v>0.1</v>
      </c>
      <c r="M252" s="359">
        <f>'Transaction Assumptions'!$G$41</f>
        <v>0.1</v>
      </c>
      <c r="N252" s="359">
        <f>'Transaction Assumptions'!$G$41</f>
        <v>0.1</v>
      </c>
      <c r="O252" s="359">
        <f>'Transaction Assumptions'!$G$41</f>
        <v>0.1</v>
      </c>
      <c r="P252" s="359">
        <f>'Transaction Assumptions'!$G$41</f>
        <v>0.1</v>
      </c>
      <c r="Q252" s="359">
        <f>'Transaction Assumptions'!$G$41</f>
        <v>0.1</v>
      </c>
      <c r="R252" s="359">
        <f>'Transaction Assumptions'!$G$41</f>
        <v>0.1</v>
      </c>
      <c r="S252" s="359">
        <f>'Transaction Assumptions'!$G$41</f>
        <v>0.1</v>
      </c>
      <c r="T252" s="359">
        <f>'Transaction Assumptions'!$G$41</f>
        <v>0.1</v>
      </c>
    </row>
    <row r="253" spans="2:20" ht="15" hidden="1" customHeight="1" outlineLevel="1">
      <c r="C253" s="13"/>
      <c r="E253" s="67"/>
      <c r="G253" s="67"/>
      <c r="H253" s="98"/>
      <c r="I253" s="91"/>
      <c r="J253" s="91"/>
      <c r="K253" s="91"/>
      <c r="L253" s="91"/>
      <c r="M253" s="91"/>
      <c r="N253" s="91"/>
      <c r="O253" s="91"/>
      <c r="P253" s="85"/>
      <c r="Q253" s="85"/>
      <c r="R253" s="85"/>
      <c r="S253" s="85"/>
      <c r="T253" s="85"/>
    </row>
    <row r="254" spans="2:20" ht="15" hidden="1" customHeight="1" outlineLevel="1">
      <c r="C254" s="80" t="s">
        <v>162</v>
      </c>
      <c r="E254" s="67"/>
      <c r="G254" s="67"/>
      <c r="H254" s="485"/>
      <c r="I254" s="486"/>
      <c r="J254" s="91"/>
      <c r="K254" s="359">
        <f>1-K255</f>
        <v>0.25</v>
      </c>
      <c r="L254" s="359">
        <f t="shared" ref="L254:T254" si="113">1-L255</f>
        <v>0.25</v>
      </c>
      <c r="M254" s="359">
        <f t="shared" si="113"/>
        <v>0.25</v>
      </c>
      <c r="N254" s="359">
        <f t="shared" si="113"/>
        <v>0.25</v>
      </c>
      <c r="O254" s="359">
        <f t="shared" si="113"/>
        <v>0.25</v>
      </c>
      <c r="P254" s="359">
        <f t="shared" si="113"/>
        <v>0.75</v>
      </c>
      <c r="Q254" s="359">
        <f t="shared" si="113"/>
        <v>0.75</v>
      </c>
      <c r="R254" s="359">
        <f t="shared" si="113"/>
        <v>0.75</v>
      </c>
      <c r="S254" s="359">
        <f t="shared" si="113"/>
        <v>0.75</v>
      </c>
      <c r="T254" s="359">
        <f t="shared" si="113"/>
        <v>0.75</v>
      </c>
    </row>
    <row r="255" spans="2:20" ht="15" hidden="1" customHeight="1" outlineLevel="1">
      <c r="C255" s="80" t="s">
        <v>408</v>
      </c>
      <c r="E255" s="67"/>
      <c r="G255" s="67"/>
      <c r="J255" s="91"/>
      <c r="K255" s="360">
        <f>'Transaction Assumptions'!D51</f>
        <v>0.75</v>
      </c>
      <c r="L255" s="360">
        <f>'Transaction Assumptions'!E51</f>
        <v>0.75</v>
      </c>
      <c r="M255" s="360">
        <f>'Transaction Assumptions'!F51</f>
        <v>0.75</v>
      </c>
      <c r="N255" s="360">
        <f>'Transaction Assumptions'!G51</f>
        <v>0.75</v>
      </c>
      <c r="O255" s="360">
        <f>'Transaction Assumptions'!H51</f>
        <v>0.75</v>
      </c>
      <c r="P255" s="360">
        <f>'Transaction Assumptions'!I51</f>
        <v>0.25</v>
      </c>
      <c r="Q255" s="360">
        <f>'Transaction Assumptions'!J51</f>
        <v>0.25</v>
      </c>
      <c r="R255" s="360">
        <f>'Transaction Assumptions'!K51</f>
        <v>0.25</v>
      </c>
      <c r="S255" s="360">
        <f>'Transaction Assumptions'!L51</f>
        <v>0.25</v>
      </c>
      <c r="T255" s="360">
        <f>'Transaction Assumptions'!M51</f>
        <v>0.25</v>
      </c>
    </row>
    <row r="256" spans="2:20" ht="15" hidden="1" customHeight="1" outlineLevel="1">
      <c r="C256" s="13" t="s">
        <v>163</v>
      </c>
      <c r="E256" s="67"/>
      <c r="G256" s="67"/>
      <c r="H256" s="98"/>
      <c r="I256" s="91"/>
      <c r="J256" s="91"/>
      <c r="K256" s="359">
        <v>1</v>
      </c>
      <c r="L256" s="359">
        <v>1</v>
      </c>
      <c r="M256" s="359">
        <v>1</v>
      </c>
      <c r="N256" s="359">
        <v>1</v>
      </c>
      <c r="O256" s="359">
        <v>1</v>
      </c>
      <c r="P256" s="359">
        <v>1</v>
      </c>
      <c r="Q256" s="359">
        <v>1</v>
      </c>
      <c r="R256" s="359">
        <v>1</v>
      </c>
      <c r="S256" s="359">
        <v>1</v>
      </c>
      <c r="T256" s="359">
        <v>1</v>
      </c>
    </row>
    <row r="257" spans="2:20" ht="15" hidden="1" customHeight="1" outlineLevel="1">
      <c r="C257" s="102"/>
      <c r="E257" s="67"/>
      <c r="G257" s="67"/>
      <c r="H257" s="98"/>
      <c r="I257" s="91"/>
      <c r="J257" s="91"/>
      <c r="K257" s="91"/>
      <c r="L257" s="91"/>
      <c r="M257" s="91"/>
      <c r="N257" s="91"/>
      <c r="O257" s="91"/>
      <c r="P257" s="91"/>
      <c r="Q257" s="75"/>
      <c r="R257" s="75"/>
      <c r="S257" s="75"/>
      <c r="T257" s="75"/>
    </row>
    <row r="258" spans="2:20" ht="15" hidden="1" customHeight="1" outlineLevel="1">
      <c r="C258" s="80" t="s">
        <v>148</v>
      </c>
      <c r="E258" s="67"/>
      <c r="G258" s="67"/>
      <c r="H258" s="305" t="s">
        <v>126</v>
      </c>
      <c r="I258" s="91"/>
      <c r="J258" s="91"/>
      <c r="K258" s="85">
        <f>AVERAGE(K249,K246)*K$252*K254</f>
        <v>38576.490819547093</v>
      </c>
      <c r="L258" s="85">
        <f t="shared" ref="L258:T258" si="114">AVERAGE(L249,L246)*L$252*L254</f>
        <v>41469.727631013135</v>
      </c>
      <c r="M258" s="85">
        <f t="shared" si="114"/>
        <v>44579.957203339116</v>
      </c>
      <c r="N258" s="85">
        <f t="shared" si="114"/>
        <v>47923.453993589552</v>
      </c>
      <c r="O258" s="85">
        <f t="shared" si="114"/>
        <v>51517.713043108772</v>
      </c>
      <c r="P258" s="85">
        <f t="shared" si="114"/>
        <v>162141.13963477217</v>
      </c>
      <c r="Q258" s="85">
        <f t="shared" si="114"/>
        <v>166194.6681256415</v>
      </c>
      <c r="R258" s="85">
        <f t="shared" si="114"/>
        <v>170349.53482878252</v>
      </c>
      <c r="S258" s="85">
        <f>AVERAGE(S249,S246)*S$252*S254</f>
        <v>174608.27319950209</v>
      </c>
      <c r="T258" s="85">
        <f t="shared" si="114"/>
        <v>178973.48002948961</v>
      </c>
    </row>
    <row r="259" spans="2:20" ht="15" hidden="1" customHeight="1" outlineLevel="1">
      <c r="C259" s="80" t="s">
        <v>149</v>
      </c>
      <c r="E259" s="67"/>
      <c r="G259" s="67"/>
      <c r="H259" s="325">
        <f>Cover!$D$19</f>
        <v>2</v>
      </c>
      <c r="I259" s="91"/>
      <c r="J259" s="91"/>
      <c r="K259" s="340">
        <f>IF($H259=1,AVERAGE(K249,K246)*K$252*K255,K$252*K255*K246)</f>
        <v>111546.47947820848</v>
      </c>
      <c r="L259" s="340">
        <f t="shared" ref="L259:T259" si="115">IF($H259=1,AVERAGE(L249,L246)*L$252*L255,L$252*L255*L246)</f>
        <v>119912.46543907412</v>
      </c>
      <c r="M259" s="340">
        <f t="shared" si="115"/>
        <v>128905.90034700469</v>
      </c>
      <c r="N259" s="340">
        <f t="shared" si="115"/>
        <v>138573.84287303005</v>
      </c>
      <c r="O259" s="340">
        <f t="shared" si="115"/>
        <v>148966.8810885073</v>
      </c>
      <c r="P259" s="340">
        <f t="shared" si="115"/>
        <v>53379.799056715114</v>
      </c>
      <c r="Q259" s="340">
        <f t="shared" si="115"/>
        <v>54714.294033132996</v>
      </c>
      <c r="R259" s="340">
        <f t="shared" si="115"/>
        <v>56082.151383961318</v>
      </c>
      <c r="S259" s="340">
        <f t="shared" si="115"/>
        <v>57484.205168560358</v>
      </c>
      <c r="T259" s="340">
        <f t="shared" si="115"/>
        <v>58921.310297774362</v>
      </c>
    </row>
    <row r="260" spans="2:20" ht="15" hidden="1" customHeight="1" outlineLevel="1">
      <c r="C260" s="13" t="s">
        <v>164</v>
      </c>
      <c r="I260" s="91"/>
      <c r="J260" s="91"/>
      <c r="K260" s="85">
        <f>SUM(K258:K259)</f>
        <v>150122.97029775556</v>
      </c>
      <c r="L260" s="85">
        <f t="shared" ref="L260:T260" si="116">SUM(L258:L259)</f>
        <v>161382.19307008726</v>
      </c>
      <c r="M260" s="85">
        <f t="shared" si="116"/>
        <v>173485.85755034379</v>
      </c>
      <c r="N260" s="85">
        <f t="shared" si="116"/>
        <v>186497.29686661961</v>
      </c>
      <c r="O260" s="85">
        <f t="shared" si="116"/>
        <v>200484.59413161606</v>
      </c>
      <c r="P260" s="85">
        <f t="shared" si="116"/>
        <v>215520.9386914873</v>
      </c>
      <c r="Q260" s="85">
        <f t="shared" si="116"/>
        <v>220908.96215877449</v>
      </c>
      <c r="R260" s="85">
        <f t="shared" si="116"/>
        <v>226431.68621274384</v>
      </c>
      <c r="S260" s="85">
        <f t="shared" si="116"/>
        <v>232092.47836806244</v>
      </c>
      <c r="T260" s="85">
        <f t="shared" si="116"/>
        <v>237894.79032726397</v>
      </c>
    </row>
    <row r="261" spans="2:20" ht="15" hidden="1" customHeight="1" outlineLevel="1">
      <c r="B261" s="10"/>
      <c r="C261" s="71"/>
      <c r="D261" s="74"/>
      <c r="E261" s="74"/>
      <c r="F261" s="74"/>
      <c r="G261" s="74"/>
      <c r="H261" s="131"/>
      <c r="I261" s="11"/>
      <c r="J261" s="74"/>
      <c r="K261" s="91"/>
      <c r="L261" s="74"/>
      <c r="M261" s="74"/>
      <c r="N261" s="74"/>
      <c r="O261" s="74"/>
      <c r="P261" s="28"/>
      <c r="Q261" s="28"/>
      <c r="R261" s="28"/>
      <c r="S261" s="28"/>
      <c r="T261" s="28"/>
    </row>
    <row r="262" spans="2:20" ht="15" hidden="1" customHeight="1" outlineLevel="1">
      <c r="B262" s="10"/>
      <c r="C262" s="71"/>
      <c r="D262" s="74"/>
      <c r="E262" s="74"/>
      <c r="F262" s="74"/>
      <c r="G262" s="74"/>
      <c r="H262" s="131"/>
      <c r="I262" s="11"/>
      <c r="J262" s="74"/>
      <c r="K262" s="74"/>
      <c r="L262" s="74"/>
      <c r="M262" s="74"/>
      <c r="N262" s="74"/>
      <c r="O262" s="74"/>
      <c r="P262" s="28"/>
      <c r="Q262" s="28"/>
      <c r="R262" s="28"/>
      <c r="S262" s="28"/>
      <c r="T262" s="28"/>
    </row>
    <row r="263" spans="2:20" ht="15" hidden="1" customHeight="1" outlineLevel="1">
      <c r="B263" s="10"/>
      <c r="C263" s="71"/>
      <c r="D263" s="74"/>
      <c r="E263" s="74"/>
      <c r="F263" s="74"/>
      <c r="G263" s="74"/>
      <c r="H263" s="131"/>
      <c r="I263" s="11"/>
      <c r="J263" s="74"/>
      <c r="K263" s="74"/>
      <c r="L263" s="74"/>
      <c r="M263" s="74"/>
      <c r="N263" s="74"/>
      <c r="O263" s="74"/>
      <c r="P263" s="28"/>
      <c r="Q263" s="28"/>
      <c r="R263" s="28"/>
      <c r="S263" s="28"/>
      <c r="T263" s="28"/>
    </row>
    <row r="264" spans="2:20" ht="15" hidden="1" customHeight="1" outlineLevel="1">
      <c r="B264" s="104" t="s">
        <v>100</v>
      </c>
      <c r="C264" s="71"/>
      <c r="D264" s="74"/>
      <c r="E264" s="74"/>
      <c r="F264" s="74"/>
      <c r="G264" s="74"/>
      <c r="H264" s="74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</row>
    <row r="265" spans="2:20" ht="15" hidden="1" customHeight="1" outlineLevel="1">
      <c r="B265" s="104"/>
      <c r="C265" s="21" t="s">
        <v>6</v>
      </c>
      <c r="D265" s="74"/>
      <c r="E265" s="74"/>
      <c r="F265" s="74"/>
      <c r="G265" s="74"/>
      <c r="H265" s="74"/>
      <c r="I265" s="165"/>
      <c r="J265" s="91"/>
      <c r="K265" s="75">
        <f>J267</f>
        <v>200000</v>
      </c>
      <c r="L265" s="75">
        <f t="shared" ref="L265:T265" si="117">K267</f>
        <v>5000</v>
      </c>
      <c r="M265" s="75">
        <f t="shared" si="117"/>
        <v>5000</v>
      </c>
      <c r="N265" s="75">
        <f t="shared" si="117"/>
        <v>5000</v>
      </c>
      <c r="O265" s="75">
        <f t="shared" si="117"/>
        <v>5000</v>
      </c>
      <c r="P265" s="75">
        <f t="shared" si="117"/>
        <v>154820.03127128695</v>
      </c>
      <c r="Q265" s="75">
        <f t="shared" si="117"/>
        <v>587053.08461321285</v>
      </c>
      <c r="R265" s="75">
        <f t="shared" si="117"/>
        <v>1250119.6540829227</v>
      </c>
      <c r="S265" s="75">
        <f t="shared" si="117"/>
        <v>2190769.8847802761</v>
      </c>
      <c r="T265" s="75">
        <f t="shared" si="117"/>
        <v>3288309.4834122919</v>
      </c>
    </row>
    <row r="266" spans="2:20" ht="15" hidden="1" customHeight="1" outlineLevel="1">
      <c r="B266" s="104"/>
      <c r="C266" s="21" t="s">
        <v>72</v>
      </c>
      <c r="D266" s="74"/>
      <c r="E266" s="74"/>
      <c r="F266" s="74"/>
      <c r="G266" s="74"/>
      <c r="H266" s="74"/>
      <c r="I266" s="165"/>
      <c r="J266" s="133"/>
      <c r="K266" s="91">
        <f t="shared" ref="K266:T266" si="118">K83</f>
        <v>-195000</v>
      </c>
      <c r="L266" s="91">
        <f t="shared" si="118"/>
        <v>0</v>
      </c>
      <c r="M266" s="91">
        <f t="shared" si="118"/>
        <v>0</v>
      </c>
      <c r="N266" s="91">
        <f t="shared" si="118"/>
        <v>0</v>
      </c>
      <c r="O266" s="91">
        <f t="shared" si="118"/>
        <v>149820.03127128695</v>
      </c>
      <c r="P266" s="91">
        <f t="shared" si="118"/>
        <v>432233.05334192584</v>
      </c>
      <c r="Q266" s="91">
        <f t="shared" si="118"/>
        <v>663066.56946970988</v>
      </c>
      <c r="R266" s="91">
        <f t="shared" si="118"/>
        <v>940650.23069735337</v>
      </c>
      <c r="S266" s="91">
        <f t="shared" si="118"/>
        <v>1097539.598632016</v>
      </c>
      <c r="T266" s="91">
        <f t="shared" si="118"/>
        <v>1383225.9622251873</v>
      </c>
    </row>
    <row r="267" spans="2:20" ht="15" hidden="1" customHeight="1" outlineLevel="1">
      <c r="B267" s="104"/>
      <c r="C267" s="13" t="s">
        <v>7</v>
      </c>
      <c r="D267" s="74"/>
      <c r="E267" s="74"/>
      <c r="F267" s="74"/>
      <c r="G267" s="74"/>
      <c r="H267" s="74"/>
      <c r="I267" s="165"/>
      <c r="J267" s="345">
        <f>J36</f>
        <v>200000</v>
      </c>
      <c r="K267" s="339">
        <f>SUM(K265:K266)</f>
        <v>5000</v>
      </c>
      <c r="L267" s="339">
        <f t="shared" ref="L267:T267" si="119">SUM(L265:L266)</f>
        <v>5000</v>
      </c>
      <c r="M267" s="339">
        <f t="shared" si="119"/>
        <v>5000</v>
      </c>
      <c r="N267" s="339">
        <f>SUM(N265:N266)</f>
        <v>5000</v>
      </c>
      <c r="O267" s="339">
        <f t="shared" si="119"/>
        <v>154820.03127128695</v>
      </c>
      <c r="P267" s="339">
        <f t="shared" si="119"/>
        <v>587053.08461321285</v>
      </c>
      <c r="Q267" s="339">
        <f t="shared" si="119"/>
        <v>1250119.6540829227</v>
      </c>
      <c r="R267" s="339">
        <f t="shared" si="119"/>
        <v>2190769.8847802761</v>
      </c>
      <c r="S267" s="339">
        <f t="shared" si="119"/>
        <v>3288309.4834122919</v>
      </c>
      <c r="T267" s="339">
        <f t="shared" si="119"/>
        <v>4671535.4456374794</v>
      </c>
    </row>
    <row r="268" spans="2:20" ht="15" hidden="1" customHeight="1" outlineLevel="1">
      <c r="B268" s="104"/>
      <c r="C268" s="21"/>
      <c r="D268" s="74"/>
      <c r="E268" s="74"/>
      <c r="F268" s="74"/>
      <c r="G268" s="74"/>
      <c r="H268" s="305"/>
      <c r="I268" s="165"/>
      <c r="J268" s="361"/>
      <c r="K268" s="361"/>
      <c r="L268" s="361"/>
      <c r="M268" s="361"/>
      <c r="N268" s="361"/>
      <c r="O268" s="361"/>
      <c r="P268" s="361"/>
      <c r="Q268" s="361"/>
      <c r="R268" s="361"/>
      <c r="S268" s="361"/>
      <c r="T268" s="361"/>
    </row>
    <row r="269" spans="2:20" ht="15" hidden="1" customHeight="1" outlineLevel="1">
      <c r="B269" s="104"/>
      <c r="C269" s="21" t="s">
        <v>146</v>
      </c>
      <c r="D269" s="74"/>
      <c r="E269" s="74"/>
      <c r="F269" s="74"/>
      <c r="G269" s="74"/>
      <c r="H269" s="305" t="s">
        <v>126</v>
      </c>
      <c r="I269" s="165"/>
      <c r="J269" s="361"/>
      <c r="K269" s="360">
        <f>'Transaction Assumptions'!$J$28</f>
        <v>3.5000000000000003E-2</v>
      </c>
      <c r="L269" s="360">
        <f>'Transaction Assumptions'!$J$28</f>
        <v>3.5000000000000003E-2</v>
      </c>
      <c r="M269" s="360">
        <f>'Transaction Assumptions'!$J$28</f>
        <v>3.5000000000000003E-2</v>
      </c>
      <c r="N269" s="360">
        <f>'Transaction Assumptions'!$J$28</f>
        <v>3.5000000000000003E-2</v>
      </c>
      <c r="O269" s="360">
        <f>'Transaction Assumptions'!$J$28</f>
        <v>3.5000000000000003E-2</v>
      </c>
      <c r="P269" s="360">
        <f>'Transaction Assumptions'!$J$28</f>
        <v>3.5000000000000003E-2</v>
      </c>
      <c r="Q269" s="360">
        <f>'Transaction Assumptions'!$J$28</f>
        <v>3.5000000000000003E-2</v>
      </c>
      <c r="R269" s="360">
        <f>'Transaction Assumptions'!$J$28</f>
        <v>3.5000000000000003E-2</v>
      </c>
      <c r="S269" s="360">
        <f>'Transaction Assumptions'!$J$28</f>
        <v>3.5000000000000003E-2</v>
      </c>
      <c r="T269" s="360">
        <f>'Transaction Assumptions'!$J$28</f>
        <v>3.5000000000000003E-2</v>
      </c>
    </row>
    <row r="270" spans="2:20" ht="15" hidden="1" customHeight="1" outlineLevel="1">
      <c r="B270" s="104"/>
      <c r="C270" s="21" t="s">
        <v>102</v>
      </c>
      <c r="D270" s="21"/>
      <c r="E270" s="74"/>
      <c r="F270" s="74"/>
      <c r="G270" s="74"/>
      <c r="H270" s="325">
        <f>Cover!$D$19</f>
        <v>2</v>
      </c>
      <c r="I270" s="165"/>
      <c r="J270" s="361"/>
      <c r="K270" s="362">
        <f>IF($H$270=1,AVERAGE(K267,K265)*K269,K265*K269)</f>
        <v>7000.0000000000009</v>
      </c>
      <c r="L270" s="362">
        <f t="shared" ref="L270:T270" si="120">IF($H$270=1,AVERAGE(L267,L265)*L269,L265*L269)</f>
        <v>175.00000000000003</v>
      </c>
      <c r="M270" s="362">
        <f t="shared" si="120"/>
        <v>175.00000000000003</v>
      </c>
      <c r="N270" s="362">
        <f t="shared" si="120"/>
        <v>175.00000000000003</v>
      </c>
      <c r="O270" s="362">
        <f t="shared" si="120"/>
        <v>175.00000000000003</v>
      </c>
      <c r="P270" s="362">
        <f t="shared" si="120"/>
        <v>5418.7010944950434</v>
      </c>
      <c r="Q270" s="362">
        <f t="shared" si="120"/>
        <v>20546.85796146245</v>
      </c>
      <c r="R270" s="362">
        <f t="shared" si="120"/>
        <v>43754.187892902301</v>
      </c>
      <c r="S270" s="362">
        <f t="shared" si="120"/>
        <v>76676.945967309672</v>
      </c>
      <c r="T270" s="362">
        <f t="shared" si="120"/>
        <v>115090.83191943023</v>
      </c>
    </row>
    <row r="271" spans="2:20" ht="15" hidden="1" customHeight="1" outlineLevel="1">
      <c r="B271" s="24"/>
      <c r="C271" s="306"/>
      <c r="D271" s="307"/>
      <c r="E271" s="307"/>
      <c r="F271" s="307"/>
      <c r="G271" s="307"/>
      <c r="H271" s="308"/>
      <c r="I271" s="26"/>
      <c r="J271" s="307"/>
      <c r="K271" s="307"/>
      <c r="L271" s="307"/>
      <c r="M271" s="307"/>
      <c r="N271" s="307"/>
      <c r="O271" s="307"/>
      <c r="P271" s="33"/>
      <c r="Q271" s="33"/>
      <c r="R271" s="33"/>
      <c r="S271" s="33"/>
      <c r="T271" s="33"/>
    </row>
    <row r="272" spans="2:20" ht="15" customHeight="1" collapsed="1">
      <c r="B272" s="10"/>
      <c r="C272" s="71"/>
      <c r="D272" s="74"/>
      <c r="E272" s="74"/>
      <c r="F272" s="74"/>
      <c r="G272" s="74"/>
      <c r="H272" s="131"/>
      <c r="I272" s="11"/>
      <c r="J272" s="74"/>
      <c r="K272" s="74"/>
      <c r="L272" s="74"/>
      <c r="M272" s="74"/>
      <c r="N272" s="74"/>
      <c r="O272" s="74"/>
      <c r="P272" s="28"/>
      <c r="Q272" s="28"/>
      <c r="R272" s="28"/>
      <c r="S272" s="28"/>
      <c r="T272" s="28"/>
    </row>
    <row r="273" spans="1:20" ht="15" customHeight="1">
      <c r="A273" s="215" t="s">
        <v>39</v>
      </c>
      <c r="B273" s="515" t="s">
        <v>182</v>
      </c>
      <c r="C273" s="520"/>
      <c r="D273" s="516"/>
      <c r="E273" s="517"/>
      <c r="F273" s="605"/>
      <c r="G273" s="606"/>
      <c r="H273" s="606"/>
      <c r="I273" s="606"/>
      <c r="J273" s="606"/>
      <c r="K273" s="606"/>
      <c r="L273" s="606"/>
      <c r="M273" s="606"/>
      <c r="N273" s="606"/>
      <c r="O273" s="606"/>
      <c r="P273" s="606"/>
      <c r="Q273" s="606"/>
      <c r="R273" s="606"/>
      <c r="S273" s="606"/>
      <c r="T273" s="606"/>
    </row>
    <row r="274" spans="1:20" ht="15" hidden="1" customHeight="1" outlineLevel="1">
      <c r="B274" s="104"/>
      <c r="C274" s="68"/>
      <c r="D274" s="107"/>
      <c r="E274" s="68"/>
      <c r="F274" s="68"/>
      <c r="G274" s="68"/>
      <c r="H274" s="75"/>
      <c r="I274" s="91"/>
      <c r="J274" s="91"/>
      <c r="K274" s="91"/>
      <c r="L274" s="91"/>
      <c r="M274" s="91"/>
      <c r="N274" s="91"/>
      <c r="O274" s="91"/>
      <c r="P274" s="91"/>
      <c r="Q274" s="75"/>
      <c r="R274" s="75"/>
      <c r="S274" s="75"/>
      <c r="T274" s="75"/>
    </row>
    <row r="275" spans="1:20" ht="15" hidden="1" customHeight="1" outlineLevel="1" thickBot="1">
      <c r="B275" s="10" t="s">
        <v>8</v>
      </c>
      <c r="C275" s="71"/>
      <c r="D275" s="74"/>
      <c r="E275" s="74"/>
      <c r="F275" s="74"/>
      <c r="G275" s="74"/>
      <c r="H275" s="131"/>
      <c r="I275" s="11"/>
      <c r="J275" s="91"/>
      <c r="K275" s="577">
        <f>$K$5</f>
        <v>2025</v>
      </c>
      <c r="L275" s="577">
        <f>$L$5</f>
        <v>2026</v>
      </c>
      <c r="M275" s="577">
        <f>$M$5</f>
        <v>2027</v>
      </c>
      <c r="N275" s="577">
        <f>$N$5</f>
        <v>2028</v>
      </c>
      <c r="O275" s="577">
        <f>$O$5</f>
        <v>2029</v>
      </c>
      <c r="P275" s="577">
        <f>$P$5</f>
        <v>2030</v>
      </c>
      <c r="Q275" s="577">
        <f>$Q$5</f>
        <v>2031</v>
      </c>
      <c r="R275" s="577">
        <f>$R$5</f>
        <v>2032</v>
      </c>
      <c r="S275" s="577">
        <f>$S$5</f>
        <v>2033</v>
      </c>
      <c r="T275" s="577">
        <f>$T$5</f>
        <v>2034</v>
      </c>
    </row>
    <row r="276" spans="1:20" ht="15" hidden="1" customHeight="1" outlineLevel="1">
      <c r="B276" s="10" t="str">
        <f>$B$6</f>
        <v>Model Running: Base Case Drivers</v>
      </c>
      <c r="C276" s="68"/>
      <c r="D276" s="107"/>
      <c r="E276" s="68"/>
      <c r="F276" s="68"/>
      <c r="G276" s="68"/>
      <c r="H276" s="75"/>
      <c r="I276" s="91"/>
      <c r="J276" s="91"/>
      <c r="K276" s="91"/>
      <c r="L276" s="91"/>
      <c r="M276" s="91"/>
      <c r="N276" s="91"/>
      <c r="O276" s="91"/>
      <c r="P276" s="91"/>
      <c r="Q276" s="75"/>
      <c r="R276" s="75"/>
      <c r="S276" s="75"/>
      <c r="T276" s="75"/>
    </row>
    <row r="277" spans="1:20" ht="15" hidden="1" customHeight="1" outlineLevel="1">
      <c r="B277" s="104"/>
      <c r="C277" s="68"/>
      <c r="D277" s="107"/>
      <c r="E277" s="68"/>
      <c r="F277" s="68"/>
      <c r="G277" s="68"/>
      <c r="H277" s="75"/>
      <c r="I277" s="91"/>
      <c r="J277" s="91"/>
      <c r="K277" s="91"/>
      <c r="L277" s="91"/>
      <c r="M277" s="91"/>
      <c r="N277" s="91"/>
      <c r="O277" s="91"/>
      <c r="P277" s="91"/>
      <c r="Q277" s="75"/>
      <c r="R277" s="75"/>
      <c r="S277" s="75"/>
      <c r="T277" s="75"/>
    </row>
    <row r="278" spans="1:20" ht="15" hidden="1" customHeight="1" outlineLevel="1">
      <c r="B278" s="104" t="s">
        <v>105</v>
      </c>
      <c r="C278" s="67"/>
      <c r="E278" s="67"/>
      <c r="G278" s="67"/>
      <c r="H278" s="74"/>
      <c r="I278" s="91"/>
      <c r="J278" s="91"/>
      <c r="K278" s="91"/>
      <c r="L278" s="91"/>
      <c r="M278" s="91"/>
      <c r="N278" s="91"/>
      <c r="O278" s="91"/>
      <c r="P278" s="91"/>
      <c r="Q278" s="75"/>
      <c r="R278" s="75"/>
      <c r="S278" s="75"/>
      <c r="T278" s="75"/>
    </row>
    <row r="279" spans="1:20" ht="15" hidden="1" customHeight="1" outlineLevel="1">
      <c r="B279" s="102"/>
      <c r="C279" s="21" t="s">
        <v>198</v>
      </c>
      <c r="D279" s="107"/>
      <c r="E279" s="68"/>
      <c r="F279" s="68"/>
      <c r="G279" s="68"/>
      <c r="H279" s="75"/>
      <c r="I279" s="75"/>
      <c r="J279" s="91"/>
      <c r="K279" s="123">
        <f t="shared" ref="K279:T279" si="121">K192</f>
        <v>0</v>
      </c>
      <c r="L279" s="123">
        <f t="shared" si="121"/>
        <v>54061.96580588934</v>
      </c>
      <c r="M279" s="123">
        <f t="shared" si="121"/>
        <v>1291.2859731566641</v>
      </c>
      <c r="N279" s="123">
        <f t="shared" si="121"/>
        <v>-55353.251779046004</v>
      </c>
      <c r="O279" s="123">
        <f t="shared" si="121"/>
        <v>0</v>
      </c>
      <c r="P279" s="123">
        <f t="shared" si="121"/>
        <v>0</v>
      </c>
      <c r="Q279" s="123">
        <f t="shared" si="121"/>
        <v>0</v>
      </c>
      <c r="R279" s="123">
        <f t="shared" si="121"/>
        <v>0</v>
      </c>
      <c r="S279" s="123">
        <f t="shared" si="121"/>
        <v>0</v>
      </c>
      <c r="T279" s="123">
        <f t="shared" si="121"/>
        <v>0</v>
      </c>
    </row>
    <row r="280" spans="1:20" ht="15" hidden="1" customHeight="1" outlineLevel="1">
      <c r="B280" s="102"/>
      <c r="C280" s="21" t="s">
        <v>177</v>
      </c>
      <c r="D280" s="107"/>
      <c r="E280" s="68"/>
      <c r="F280" s="68"/>
      <c r="G280" s="68"/>
      <c r="H280" s="75"/>
      <c r="I280" s="75"/>
      <c r="J280" s="91"/>
      <c r="K280" s="75">
        <f t="shared" ref="K280:T280" si="122">SUM(K229:K230)</f>
        <v>-137386.76294235321</v>
      </c>
      <c r="L280" s="75">
        <f t="shared" si="122"/>
        <v>-54083.141565191996</v>
      </c>
      <c r="M280" s="75">
        <f t="shared" si="122"/>
        <v>-54083.141565191996</v>
      </c>
      <c r="N280" s="75">
        <f t="shared" si="122"/>
        <v>-106432.44244269852</v>
      </c>
      <c r="O280" s="75">
        <f t="shared" si="122"/>
        <v>-188845.92713648407</v>
      </c>
      <c r="P280" s="75">
        <f t="shared" si="122"/>
        <v>0</v>
      </c>
      <c r="Q280" s="75">
        <f t="shared" si="122"/>
        <v>0</v>
      </c>
      <c r="R280" s="75">
        <f t="shared" si="122"/>
        <v>0</v>
      </c>
      <c r="S280" s="75">
        <f t="shared" si="122"/>
        <v>0</v>
      </c>
      <c r="T280" s="75">
        <f t="shared" si="122"/>
        <v>0</v>
      </c>
    </row>
    <row r="281" spans="1:20" ht="15" hidden="1" customHeight="1" outlineLevel="1">
      <c r="B281" s="102"/>
      <c r="C281" s="21" t="s">
        <v>178</v>
      </c>
      <c r="D281" s="107"/>
      <c r="E281" s="68"/>
      <c r="F281" s="68"/>
      <c r="G281" s="68"/>
      <c r="H281" s="75"/>
      <c r="I281" s="75"/>
      <c r="J281" s="91"/>
      <c r="K281" s="133">
        <f t="shared" ref="K281:T281" si="123">K247</f>
        <v>0</v>
      </c>
      <c r="L281" s="133">
        <f t="shared" si="123"/>
        <v>0</v>
      </c>
      <c r="M281" s="133">
        <f t="shared" si="123"/>
        <v>0</v>
      </c>
      <c r="N281" s="133">
        <f t="shared" si="123"/>
        <v>0</v>
      </c>
      <c r="O281" s="133">
        <f t="shared" si="123"/>
        <v>0</v>
      </c>
      <c r="P281" s="133">
        <f t="shared" si="123"/>
        <v>0</v>
      </c>
      <c r="Q281" s="133">
        <f t="shared" si="123"/>
        <v>0</v>
      </c>
      <c r="R281" s="133">
        <f t="shared" si="123"/>
        <v>0</v>
      </c>
      <c r="S281" s="133">
        <f t="shared" si="123"/>
        <v>0</v>
      </c>
      <c r="T281" s="133">
        <f t="shared" si="123"/>
        <v>0</v>
      </c>
    </row>
    <row r="282" spans="1:20" ht="15" hidden="1" customHeight="1" outlineLevel="1">
      <c r="B282" s="102"/>
      <c r="C282" s="13" t="s">
        <v>106</v>
      </c>
      <c r="D282" s="107"/>
      <c r="E282" s="68"/>
      <c r="F282" s="68"/>
      <c r="G282" s="68"/>
      <c r="H282" s="75"/>
      <c r="I282" s="75"/>
      <c r="J282" s="91"/>
      <c r="K282" s="91">
        <f>SUM(K279:K281)</f>
        <v>-137386.76294235321</v>
      </c>
      <c r="L282" s="91">
        <f t="shared" ref="L282:T282" si="124">SUM(L279:L281)</f>
        <v>-21.175759302655933</v>
      </c>
      <c r="M282" s="91">
        <f t="shared" si="124"/>
        <v>-52791.855592035332</v>
      </c>
      <c r="N282" s="91">
        <f t="shared" si="124"/>
        <v>-161785.69422174452</v>
      </c>
      <c r="O282" s="91">
        <f t="shared" si="124"/>
        <v>-188845.92713648407</v>
      </c>
      <c r="P282" s="91">
        <f t="shared" si="124"/>
        <v>0</v>
      </c>
      <c r="Q282" s="91">
        <f t="shared" si="124"/>
        <v>0</v>
      </c>
      <c r="R282" s="91">
        <f t="shared" si="124"/>
        <v>0</v>
      </c>
      <c r="S282" s="91">
        <f t="shared" si="124"/>
        <v>0</v>
      </c>
      <c r="T282" s="91">
        <f t="shared" si="124"/>
        <v>0</v>
      </c>
    </row>
    <row r="283" spans="1:20" ht="15" hidden="1" customHeight="1" outlineLevel="1">
      <c r="B283" s="104"/>
      <c r="C283" s="68"/>
      <c r="D283" s="107"/>
      <c r="E283" s="68"/>
      <c r="F283" s="68"/>
      <c r="G283" s="68"/>
      <c r="H283" s="75"/>
      <c r="I283" s="91"/>
      <c r="J283" s="91"/>
      <c r="K283" s="91"/>
      <c r="L283" s="91"/>
      <c r="M283" s="91"/>
      <c r="N283" s="91"/>
      <c r="O283" s="91"/>
      <c r="P283" s="91"/>
      <c r="Q283" s="75"/>
      <c r="R283" s="75"/>
      <c r="S283" s="75"/>
      <c r="T283" s="75"/>
    </row>
    <row r="284" spans="1:20" ht="15" hidden="1" customHeight="1" outlineLevel="1">
      <c r="B284" s="104"/>
      <c r="C284" s="68"/>
      <c r="D284" s="107"/>
      <c r="E284" s="68"/>
      <c r="F284" s="68"/>
      <c r="G284" s="68"/>
      <c r="H284" s="75"/>
      <c r="I284" s="91"/>
      <c r="J284" s="91"/>
      <c r="K284" s="91"/>
      <c r="L284" s="91"/>
      <c r="M284" s="91"/>
      <c r="N284" s="91"/>
      <c r="O284" s="91"/>
      <c r="P284" s="91"/>
      <c r="Q284" s="75"/>
      <c r="R284" s="75"/>
      <c r="S284" s="75"/>
      <c r="T284" s="75"/>
    </row>
    <row r="285" spans="1:20" ht="15" hidden="1" customHeight="1" outlineLevel="1">
      <c r="B285" s="104" t="s">
        <v>104</v>
      </c>
      <c r="C285" s="67"/>
      <c r="E285" s="67"/>
      <c r="G285" s="67"/>
      <c r="H285" s="74"/>
      <c r="I285" s="91"/>
      <c r="J285" s="91"/>
      <c r="K285" s="91"/>
      <c r="L285" s="91"/>
      <c r="M285" s="91"/>
      <c r="N285" s="91"/>
      <c r="O285" s="91"/>
      <c r="P285" s="91"/>
      <c r="Q285" s="75"/>
      <c r="R285" s="75"/>
      <c r="S285" s="75"/>
      <c r="T285" s="75"/>
    </row>
    <row r="286" spans="1:20" ht="15" hidden="1" customHeight="1" outlineLevel="1">
      <c r="B286" s="102"/>
      <c r="C286" s="21" t="s">
        <v>198</v>
      </c>
      <c r="D286" s="107"/>
      <c r="E286" s="68"/>
      <c r="F286" s="68"/>
      <c r="G286" s="68"/>
      <c r="H286" s="75"/>
      <c r="I286" s="75"/>
      <c r="J286"/>
      <c r="K286" s="75">
        <f t="shared" ref="K286:T286" si="125">K193</f>
        <v>0</v>
      </c>
      <c r="L286" s="75">
        <f t="shared" si="125"/>
        <v>54061.96580588934</v>
      </c>
      <c r="M286" s="75">
        <f t="shared" si="125"/>
        <v>55353.251779046004</v>
      </c>
      <c r="N286" s="75">
        <f t="shared" si="125"/>
        <v>0</v>
      </c>
      <c r="O286" s="75">
        <f t="shared" si="125"/>
        <v>0</v>
      </c>
      <c r="P286" s="75">
        <f t="shared" si="125"/>
        <v>0</v>
      </c>
      <c r="Q286" s="75">
        <f t="shared" si="125"/>
        <v>0</v>
      </c>
      <c r="R286" s="75">
        <f t="shared" si="125"/>
        <v>0</v>
      </c>
      <c r="S286" s="75">
        <f t="shared" si="125"/>
        <v>0</v>
      </c>
      <c r="T286" s="75">
        <f t="shared" si="125"/>
        <v>0</v>
      </c>
    </row>
    <row r="287" spans="1:20" ht="15" hidden="1" customHeight="1" outlineLevel="1">
      <c r="B287" s="102"/>
      <c r="C287" s="21" t="s">
        <v>177</v>
      </c>
      <c r="D287" s="107"/>
      <c r="E287" s="68"/>
      <c r="F287" s="68"/>
      <c r="G287" s="68"/>
      <c r="H287" s="75"/>
      <c r="I287" s="75"/>
      <c r="J287"/>
      <c r="K287" s="75">
        <f t="shared" ref="K287:T287" si="126">K231</f>
        <v>403444.65270956664</v>
      </c>
      <c r="L287" s="75">
        <f t="shared" si="126"/>
        <v>349361.51114437461</v>
      </c>
      <c r="M287" s="75">
        <f t="shared" si="126"/>
        <v>295278.36957918259</v>
      </c>
      <c r="N287" s="75">
        <f t="shared" si="126"/>
        <v>188845.92713648407</v>
      </c>
      <c r="O287" s="75">
        <f t="shared" si="126"/>
        <v>0</v>
      </c>
      <c r="P287" s="75">
        <f t="shared" si="126"/>
        <v>0</v>
      </c>
      <c r="Q287" s="75">
        <f t="shared" si="126"/>
        <v>0</v>
      </c>
      <c r="R287" s="75">
        <f t="shared" si="126"/>
        <v>0</v>
      </c>
      <c r="S287" s="75">
        <f t="shared" si="126"/>
        <v>0</v>
      </c>
      <c r="T287" s="75">
        <f t="shared" si="126"/>
        <v>0</v>
      </c>
    </row>
    <row r="288" spans="1:20" ht="15" hidden="1" customHeight="1" outlineLevel="1">
      <c r="B288" s="102"/>
      <c r="C288" s="21" t="s">
        <v>178</v>
      </c>
      <c r="D288" s="107"/>
      <c r="E288" s="68"/>
      <c r="F288" s="68"/>
      <c r="G288" s="68"/>
      <c r="H288" s="75"/>
      <c r="I288" s="75"/>
      <c r="J288"/>
      <c r="K288" s="133">
        <f t="shared" ref="K288:T288" si="127">K249</f>
        <v>1598832.8725209881</v>
      </c>
      <c r="L288" s="133">
        <f t="shared" si="127"/>
        <v>1718745.3379600623</v>
      </c>
      <c r="M288" s="133">
        <f t="shared" si="127"/>
        <v>1847651.238307067</v>
      </c>
      <c r="N288" s="133">
        <f t="shared" si="127"/>
        <v>1986225.0811800971</v>
      </c>
      <c r="O288" s="133">
        <f t="shared" si="127"/>
        <v>2135191.9622686044</v>
      </c>
      <c r="P288" s="133">
        <f t="shared" si="127"/>
        <v>2188571.7613253198</v>
      </c>
      <c r="Q288" s="133">
        <f t="shared" si="127"/>
        <v>2243286.0553584527</v>
      </c>
      <c r="R288" s="133">
        <f t="shared" si="127"/>
        <v>2299368.2067424143</v>
      </c>
      <c r="S288" s="133">
        <f t="shared" si="127"/>
        <v>2356852.4119109744</v>
      </c>
      <c r="T288" s="133">
        <f t="shared" si="127"/>
        <v>2415773.7222087486</v>
      </c>
    </row>
    <row r="289" spans="2:21" ht="15" hidden="1" customHeight="1" outlineLevel="1">
      <c r="B289" s="102"/>
      <c r="C289" s="13" t="s">
        <v>84</v>
      </c>
      <c r="D289" s="107"/>
      <c r="E289" s="68"/>
      <c r="F289" s="68"/>
      <c r="G289" s="68"/>
      <c r="H289" s="75"/>
      <c r="I289" s="75"/>
      <c r="J289"/>
      <c r="K289" s="91">
        <f>SUM(K286:K288)</f>
        <v>2002277.5252305549</v>
      </c>
      <c r="L289" s="91">
        <f>SUM(L286:L288)</f>
        <v>2122168.8149103262</v>
      </c>
      <c r="M289" s="91">
        <f t="shared" ref="M289:T289" si="128">SUM(M286:M288)</f>
        <v>2198282.8596652956</v>
      </c>
      <c r="N289" s="91">
        <f t="shared" si="128"/>
        <v>2175071.0083165811</v>
      </c>
      <c r="O289" s="91">
        <f t="shared" si="128"/>
        <v>2135191.9622686044</v>
      </c>
      <c r="P289" s="91">
        <f t="shared" si="128"/>
        <v>2188571.7613253198</v>
      </c>
      <c r="Q289" s="91">
        <f t="shared" si="128"/>
        <v>2243286.0553584527</v>
      </c>
      <c r="R289" s="91">
        <f t="shared" si="128"/>
        <v>2299368.2067424143</v>
      </c>
      <c r="S289" s="91">
        <f t="shared" si="128"/>
        <v>2356852.4119109744</v>
      </c>
      <c r="T289" s="91">
        <f t="shared" si="128"/>
        <v>2415773.7222087486</v>
      </c>
    </row>
    <row r="290" spans="2:21" ht="15" hidden="1" customHeight="1" outlineLevel="1">
      <c r="B290" s="104"/>
      <c r="C290" s="68"/>
      <c r="D290" s="107"/>
      <c r="E290" s="68"/>
      <c r="F290" s="68"/>
      <c r="G290" s="68"/>
      <c r="H290" s="75"/>
      <c r="I290" s="91"/>
      <c r="J290" s="91"/>
      <c r="K290" s="91"/>
      <c r="L290" s="91"/>
      <c r="M290" s="91"/>
      <c r="N290" s="91"/>
      <c r="O290" s="91"/>
      <c r="P290" s="91"/>
      <c r="Q290" s="91"/>
      <c r="R290" s="91"/>
      <c r="S290" s="91"/>
      <c r="T290" s="91"/>
    </row>
    <row r="291" spans="2:21" ht="15" hidden="1" customHeight="1" outlineLevel="1">
      <c r="B291" s="104"/>
      <c r="C291" s="68"/>
      <c r="D291" s="107"/>
      <c r="E291" s="68"/>
      <c r="F291" s="68"/>
      <c r="G291" s="68"/>
      <c r="H291" s="75"/>
      <c r="I291" s="91"/>
      <c r="J291" s="91"/>
      <c r="K291" s="91"/>
      <c r="L291" s="91"/>
      <c r="M291" s="91"/>
      <c r="N291" s="91"/>
      <c r="O291" s="91"/>
      <c r="P291" s="91"/>
      <c r="Q291" s="91"/>
      <c r="R291" s="91"/>
      <c r="S291" s="91"/>
      <c r="T291" s="91"/>
      <c r="U291" s="298"/>
    </row>
    <row r="292" spans="2:21" ht="15" hidden="1" customHeight="1" outlineLevel="1">
      <c r="B292" s="104" t="s">
        <v>152</v>
      </c>
      <c r="C292" s="67"/>
      <c r="E292" s="67"/>
      <c r="G292" s="67"/>
      <c r="H292" s="74"/>
      <c r="I292" s="91"/>
      <c r="J292" s="91"/>
      <c r="K292" s="91"/>
      <c r="L292" s="91"/>
      <c r="M292" s="91"/>
      <c r="N292" s="91"/>
      <c r="O292" s="91"/>
      <c r="P292" s="91"/>
      <c r="Q292" s="75"/>
      <c r="R292" s="75"/>
      <c r="S292" s="75"/>
      <c r="T292" s="75"/>
      <c r="U292" s="298"/>
    </row>
    <row r="293" spans="2:21" ht="15" hidden="1" customHeight="1" outlineLevel="1">
      <c r="B293" s="102"/>
      <c r="C293" s="21" t="s">
        <v>207</v>
      </c>
      <c r="D293" s="107"/>
      <c r="E293" s="68"/>
      <c r="F293" s="68"/>
      <c r="G293" s="68"/>
      <c r="H293" s="75"/>
      <c r="I293" s="75"/>
      <c r="J293" s="91"/>
      <c r="K293" s="75">
        <f t="shared" ref="K293:T293" si="129">K197+K206</f>
        <v>1500</v>
      </c>
      <c r="L293" s="75">
        <f t="shared" si="129"/>
        <v>1500</v>
      </c>
      <c r="M293" s="75">
        <f t="shared" si="129"/>
        <v>4203.098290294467</v>
      </c>
      <c r="N293" s="75">
        <f t="shared" si="129"/>
        <v>4129.2794595046853</v>
      </c>
      <c r="O293" s="75">
        <f t="shared" si="129"/>
        <v>1500</v>
      </c>
      <c r="P293" s="75">
        <f t="shared" si="129"/>
        <v>1500</v>
      </c>
      <c r="Q293" s="75">
        <f t="shared" si="129"/>
        <v>1500</v>
      </c>
      <c r="R293" s="75">
        <f t="shared" si="129"/>
        <v>1500</v>
      </c>
      <c r="S293" s="75">
        <f t="shared" si="129"/>
        <v>1500</v>
      </c>
      <c r="T293" s="75">
        <f t="shared" si="129"/>
        <v>1500</v>
      </c>
    </row>
    <row r="294" spans="2:21" ht="15" hidden="1" customHeight="1" outlineLevel="1">
      <c r="B294" s="102"/>
      <c r="C294" s="21" t="s">
        <v>177</v>
      </c>
      <c r="D294" s="107"/>
      <c r="E294" s="68"/>
      <c r="F294" s="68"/>
      <c r="G294" s="68"/>
      <c r="H294" s="75"/>
      <c r="I294" s="75"/>
      <c r="J294" s="91"/>
      <c r="K294" s="75">
        <f t="shared" ref="K294:T294" si="130">K235</f>
        <v>37858.199095634394</v>
      </c>
      <c r="L294" s="75">
        <f t="shared" si="130"/>
        <v>26223.902426121833</v>
      </c>
      <c r="M294" s="75">
        <f t="shared" si="130"/>
        <v>21835.094446523413</v>
      </c>
      <c r="N294" s="75">
        <f t="shared" si="130"/>
        <v>17716.702174750953</v>
      </c>
      <c r="O294" s="75">
        <f t="shared" si="130"/>
        <v>10858.640810347833</v>
      </c>
      <c r="P294" s="75">
        <f t="shared" si="130"/>
        <v>0</v>
      </c>
      <c r="Q294" s="75">
        <f t="shared" si="130"/>
        <v>0</v>
      </c>
      <c r="R294" s="75">
        <f t="shared" si="130"/>
        <v>0</v>
      </c>
      <c r="S294" s="75">
        <f t="shared" si="130"/>
        <v>0</v>
      </c>
      <c r="T294" s="75">
        <f t="shared" si="130"/>
        <v>0</v>
      </c>
    </row>
    <row r="295" spans="2:21" ht="15" hidden="1" customHeight="1" outlineLevel="1">
      <c r="B295" s="102"/>
      <c r="C295" s="21" t="s">
        <v>178</v>
      </c>
      <c r="D295" s="107"/>
      <c r="E295" s="68"/>
      <c r="F295" s="68"/>
      <c r="G295" s="68"/>
      <c r="H295" s="75"/>
      <c r="I295" s="75"/>
      <c r="J295" s="91"/>
      <c r="K295" s="133">
        <f t="shared" ref="K295:T295" si="131">K258</f>
        <v>38576.490819547093</v>
      </c>
      <c r="L295" s="133">
        <f t="shared" si="131"/>
        <v>41469.727631013135</v>
      </c>
      <c r="M295" s="133">
        <f t="shared" si="131"/>
        <v>44579.957203339116</v>
      </c>
      <c r="N295" s="133">
        <f t="shared" si="131"/>
        <v>47923.453993589552</v>
      </c>
      <c r="O295" s="133">
        <f t="shared" si="131"/>
        <v>51517.713043108772</v>
      </c>
      <c r="P295" s="133">
        <f t="shared" si="131"/>
        <v>162141.13963477217</v>
      </c>
      <c r="Q295" s="133">
        <f t="shared" si="131"/>
        <v>166194.6681256415</v>
      </c>
      <c r="R295" s="133">
        <f t="shared" si="131"/>
        <v>170349.53482878252</v>
      </c>
      <c r="S295" s="133">
        <f t="shared" si="131"/>
        <v>174608.27319950209</v>
      </c>
      <c r="T295" s="133">
        <f t="shared" si="131"/>
        <v>178973.48002948961</v>
      </c>
    </row>
    <row r="296" spans="2:21" ht="15" hidden="1" customHeight="1" outlineLevel="1">
      <c r="B296" s="102"/>
      <c r="C296" s="13" t="s">
        <v>81</v>
      </c>
      <c r="D296" s="107"/>
      <c r="E296" s="68"/>
      <c r="F296" s="68"/>
      <c r="G296" s="68"/>
      <c r="H296" s="75"/>
      <c r="I296" s="75"/>
      <c r="J296" s="91"/>
      <c r="K296" s="91">
        <f>SUM(K293:K295)</f>
        <v>77934.689915181487</v>
      </c>
      <c r="L296" s="91">
        <f t="shared" ref="L296:T296" si="132">SUM(L293:L295)</f>
        <v>69193.630057134971</v>
      </c>
      <c r="M296" s="91">
        <f t="shared" si="132"/>
        <v>70618.149940156989</v>
      </c>
      <c r="N296" s="91">
        <f t="shared" si="132"/>
        <v>69769.435627845189</v>
      </c>
      <c r="O296" s="91">
        <f t="shared" si="132"/>
        <v>63876.353853456603</v>
      </c>
      <c r="P296" s="91">
        <f t="shared" si="132"/>
        <v>163641.13963477217</v>
      </c>
      <c r="Q296" s="91">
        <f t="shared" si="132"/>
        <v>167694.6681256415</v>
      </c>
      <c r="R296" s="91">
        <f t="shared" si="132"/>
        <v>171849.53482878252</v>
      </c>
      <c r="S296" s="91">
        <f>SUM(S293:S295)</f>
        <v>176108.27319950209</v>
      </c>
      <c r="T296" s="91">
        <f t="shared" si="132"/>
        <v>180473.48002948961</v>
      </c>
    </row>
    <row r="297" spans="2:21" ht="15" hidden="1" customHeight="1" outlineLevel="1">
      <c r="B297" s="102"/>
      <c r="C297" s="13"/>
      <c r="D297" s="107"/>
      <c r="E297" s="68"/>
      <c r="F297" s="68"/>
      <c r="G297" s="68"/>
      <c r="H297" s="75"/>
      <c r="I297" s="75"/>
      <c r="J297" s="91"/>
      <c r="K297" s="91"/>
      <c r="L297" s="91"/>
      <c r="M297" s="91"/>
      <c r="N297" s="91"/>
      <c r="O297" s="91"/>
      <c r="P297" s="91"/>
      <c r="Q297" s="91"/>
      <c r="R297" s="91"/>
      <c r="S297" s="91"/>
      <c r="T297" s="91"/>
    </row>
    <row r="298" spans="2:21" ht="15" hidden="1" customHeight="1" outlineLevel="1">
      <c r="B298" s="102"/>
      <c r="C298" s="21" t="s">
        <v>223</v>
      </c>
      <c r="D298" s="107"/>
      <c r="E298" s="68"/>
      <c r="F298" s="68"/>
      <c r="G298" s="68"/>
      <c r="H298" s="75"/>
      <c r="I298" s="75"/>
      <c r="J298" s="91"/>
      <c r="K298" s="133">
        <f t="shared" ref="K298:T298" si="133">-K270</f>
        <v>-7000.0000000000009</v>
      </c>
      <c r="L298" s="133">
        <f t="shared" si="133"/>
        <v>-175.00000000000003</v>
      </c>
      <c r="M298" s="133">
        <f t="shared" si="133"/>
        <v>-175.00000000000003</v>
      </c>
      <c r="N298" s="133">
        <f t="shared" si="133"/>
        <v>-175.00000000000003</v>
      </c>
      <c r="O298" s="133">
        <f t="shared" si="133"/>
        <v>-175.00000000000003</v>
      </c>
      <c r="P298" s="133">
        <f t="shared" si="133"/>
        <v>-5418.7010944950434</v>
      </c>
      <c r="Q298" s="133">
        <f t="shared" si="133"/>
        <v>-20546.85796146245</v>
      </c>
      <c r="R298" s="133">
        <f t="shared" si="133"/>
        <v>-43754.187892902301</v>
      </c>
      <c r="S298" s="133">
        <f t="shared" si="133"/>
        <v>-76676.945967309672</v>
      </c>
      <c r="T298" s="133">
        <f t="shared" si="133"/>
        <v>-115090.83191943023</v>
      </c>
    </row>
    <row r="299" spans="2:21" ht="15" hidden="1" customHeight="1" outlineLevel="1">
      <c r="B299" s="104"/>
      <c r="C299" s="13" t="s">
        <v>166</v>
      </c>
      <c r="D299" s="107"/>
      <c r="E299" s="68"/>
      <c r="F299" s="68"/>
      <c r="G299" s="68"/>
      <c r="H299" s="75"/>
      <c r="I299" s="91"/>
      <c r="J299" s="91"/>
      <c r="K299" s="91">
        <f>K298+K296</f>
        <v>70934.689915181487</v>
      </c>
      <c r="L299" s="91">
        <f>L298+L296</f>
        <v>69018.630057134971</v>
      </c>
      <c r="M299" s="91">
        <f t="shared" ref="M299:T299" si="134">M298+M296</f>
        <v>70443.149940156989</v>
      </c>
      <c r="N299" s="91">
        <f t="shared" si="134"/>
        <v>69594.435627845189</v>
      </c>
      <c r="O299" s="91">
        <f t="shared" si="134"/>
        <v>63701.353853456603</v>
      </c>
      <c r="P299" s="91">
        <f t="shared" si="134"/>
        <v>158222.43854027713</v>
      </c>
      <c r="Q299" s="91">
        <f t="shared" si="134"/>
        <v>147147.81016417904</v>
      </c>
      <c r="R299" s="91">
        <f t="shared" si="134"/>
        <v>128095.34693588022</v>
      </c>
      <c r="S299" s="91">
        <f t="shared" si="134"/>
        <v>99431.327232192416</v>
      </c>
      <c r="T299" s="91">
        <f t="shared" si="134"/>
        <v>65382.648110059381</v>
      </c>
    </row>
    <row r="300" spans="2:21" ht="15" hidden="1" customHeight="1" outlineLevel="1">
      <c r="B300" s="104"/>
      <c r="C300" s="67"/>
      <c r="E300" s="67"/>
      <c r="G300" s="67"/>
      <c r="H300" s="74"/>
      <c r="I300" s="91"/>
      <c r="J300" s="91"/>
      <c r="K300" s="91"/>
      <c r="L300" s="91"/>
      <c r="M300" s="91"/>
      <c r="N300" s="91"/>
      <c r="O300" s="91"/>
      <c r="P300" s="91"/>
      <c r="Q300" s="75"/>
      <c r="R300" s="75"/>
      <c r="S300" s="75"/>
      <c r="T300" s="75"/>
    </row>
    <row r="301" spans="2:21" ht="15" hidden="1" customHeight="1" outlineLevel="1">
      <c r="B301" s="104"/>
      <c r="C301" s="67"/>
      <c r="E301" s="67"/>
      <c r="G301" s="67"/>
      <c r="H301" s="74"/>
      <c r="I301" s="91"/>
      <c r="J301" s="91"/>
      <c r="K301" s="91"/>
      <c r="L301" s="91"/>
      <c r="M301" s="91"/>
      <c r="N301" s="91"/>
      <c r="O301" s="91"/>
      <c r="P301" s="91"/>
      <c r="Q301" s="75"/>
      <c r="R301" s="75"/>
      <c r="S301" s="75"/>
      <c r="T301" s="75"/>
    </row>
    <row r="302" spans="2:21" ht="15" hidden="1" customHeight="1" outlineLevel="1">
      <c r="B302" s="104" t="s">
        <v>153</v>
      </c>
      <c r="C302" s="67"/>
      <c r="E302" s="67"/>
      <c r="G302" s="67"/>
      <c r="H302" s="74"/>
      <c r="I302" s="91"/>
      <c r="J302" s="91"/>
      <c r="K302" s="91"/>
      <c r="L302" s="91"/>
      <c r="M302" s="91"/>
      <c r="N302" s="91"/>
      <c r="O302" s="91"/>
      <c r="P302" s="91"/>
      <c r="Q302" s="75"/>
      <c r="R302" s="75"/>
      <c r="S302" s="75"/>
      <c r="T302" s="75"/>
    </row>
    <row r="303" spans="2:21" ht="15" hidden="1" customHeight="1" outlineLevel="1">
      <c r="B303" s="104"/>
      <c r="C303" s="21" t="s">
        <v>166</v>
      </c>
      <c r="D303" s="107"/>
      <c r="E303" s="68"/>
      <c r="F303" s="68"/>
      <c r="G303" s="68"/>
      <c r="H303" s="75"/>
      <c r="I303" s="75"/>
      <c r="J303" s="91"/>
      <c r="K303" s="91">
        <f>K299</f>
        <v>70934.689915181487</v>
      </c>
      <c r="L303" s="91">
        <f t="shared" ref="L303:T303" si="135">L299</f>
        <v>69018.630057134971</v>
      </c>
      <c r="M303" s="91">
        <f t="shared" si="135"/>
        <v>70443.149940156989</v>
      </c>
      <c r="N303" s="91">
        <f t="shared" si="135"/>
        <v>69594.435627845189</v>
      </c>
      <c r="O303" s="91">
        <f t="shared" si="135"/>
        <v>63701.353853456603</v>
      </c>
      <c r="P303" s="91">
        <f t="shared" si="135"/>
        <v>158222.43854027713</v>
      </c>
      <c r="Q303" s="91">
        <f t="shared" si="135"/>
        <v>147147.81016417904</v>
      </c>
      <c r="R303" s="91">
        <f t="shared" si="135"/>
        <v>128095.34693588022</v>
      </c>
      <c r="S303" s="91">
        <f t="shared" si="135"/>
        <v>99431.327232192416</v>
      </c>
      <c r="T303" s="91">
        <f t="shared" si="135"/>
        <v>65382.648110059381</v>
      </c>
    </row>
    <row r="304" spans="2:21" ht="15" hidden="1" customHeight="1" outlineLevel="1">
      <c r="B304" s="104"/>
      <c r="C304" s="21" t="s">
        <v>168</v>
      </c>
      <c r="D304" s="107"/>
      <c r="E304" s="68"/>
      <c r="F304" s="68"/>
      <c r="G304" s="68"/>
      <c r="H304" s="75"/>
      <c r="I304" s="75"/>
      <c r="J304" s="91"/>
      <c r="K304" s="344">
        <f t="shared" ref="K304:T304" si="136">K259</f>
        <v>111546.47947820848</v>
      </c>
      <c r="L304" s="344">
        <f t="shared" si="136"/>
        <v>119912.46543907412</v>
      </c>
      <c r="M304" s="344">
        <f t="shared" si="136"/>
        <v>128905.90034700469</v>
      </c>
      <c r="N304" s="344">
        <f t="shared" si="136"/>
        <v>138573.84287303005</v>
      </c>
      <c r="O304" s="344">
        <f t="shared" si="136"/>
        <v>148966.8810885073</v>
      </c>
      <c r="P304" s="344">
        <f t="shared" si="136"/>
        <v>53379.799056715114</v>
      </c>
      <c r="Q304" s="344">
        <f t="shared" si="136"/>
        <v>54714.294033132996</v>
      </c>
      <c r="R304" s="344">
        <f t="shared" si="136"/>
        <v>56082.151383961318</v>
      </c>
      <c r="S304" s="344">
        <f t="shared" si="136"/>
        <v>57484.205168560358</v>
      </c>
      <c r="T304" s="344">
        <f t="shared" si="136"/>
        <v>58921.310297774362</v>
      </c>
    </row>
    <row r="305" spans="1:21" ht="15" hidden="1" customHeight="1" outlineLevel="1">
      <c r="B305" s="104"/>
      <c r="C305" s="21" t="s">
        <v>164</v>
      </c>
      <c r="D305" s="107"/>
      <c r="E305" s="68"/>
      <c r="F305" s="68"/>
      <c r="G305" s="68"/>
      <c r="H305" s="75"/>
      <c r="I305" s="75"/>
      <c r="J305" s="91"/>
      <c r="K305" s="91">
        <f>SUM(K303:K304)</f>
        <v>182481.16939338995</v>
      </c>
      <c r="L305" s="91">
        <f>SUM(L303:L304)</f>
        <v>188931.09549620911</v>
      </c>
      <c r="M305" s="91">
        <f>SUM(M303:M304)</f>
        <v>199349.05028716166</v>
      </c>
      <c r="N305" s="91">
        <f t="shared" ref="N305:S305" si="137">SUM(N303:N304)</f>
        <v>208168.27850087523</v>
      </c>
      <c r="O305" s="91">
        <f>SUM(O303:O304)</f>
        <v>212668.23494196392</v>
      </c>
      <c r="P305" s="91">
        <f t="shared" si="137"/>
        <v>211602.23759699223</v>
      </c>
      <c r="Q305" s="91">
        <f t="shared" si="137"/>
        <v>201862.10419731203</v>
      </c>
      <c r="R305" s="91">
        <f t="shared" si="137"/>
        <v>184177.49831984154</v>
      </c>
      <c r="S305" s="91">
        <f t="shared" si="137"/>
        <v>156915.53240075277</v>
      </c>
      <c r="T305" s="91">
        <f>SUM(T303:T304)</f>
        <v>124303.95840783374</v>
      </c>
    </row>
    <row r="306" spans="1:21" ht="15" hidden="1" customHeight="1" outlineLevel="1">
      <c r="B306" s="101"/>
      <c r="C306" s="101"/>
      <c r="D306" s="101"/>
      <c r="E306" s="101"/>
      <c r="F306" s="101"/>
      <c r="G306" s="101"/>
      <c r="H306" s="101"/>
      <c r="I306" s="101"/>
      <c r="J306" s="101"/>
      <c r="K306" s="101"/>
      <c r="L306" s="101"/>
      <c r="M306" s="101"/>
      <c r="N306" s="101"/>
      <c r="O306" s="101"/>
      <c r="P306" s="101"/>
      <c r="Q306" s="101"/>
      <c r="R306" s="101"/>
      <c r="S306" s="101"/>
      <c r="T306" s="101"/>
    </row>
    <row r="307" spans="1:21" ht="15" customHeight="1" collapsed="1"/>
    <row r="308" spans="1:21" ht="15" customHeight="1">
      <c r="A308" s="215" t="s">
        <v>39</v>
      </c>
      <c r="B308" s="515" t="s">
        <v>183</v>
      </c>
      <c r="C308" s="520"/>
      <c r="D308" s="516"/>
      <c r="E308" s="517"/>
      <c r="F308" s="605"/>
      <c r="G308" s="606"/>
      <c r="H308" s="606"/>
      <c r="I308" s="606"/>
      <c r="J308" s="606"/>
      <c r="K308" s="606"/>
      <c r="L308" s="606"/>
      <c r="M308" s="606"/>
      <c r="N308" s="606"/>
      <c r="O308" s="606"/>
      <c r="P308" s="606"/>
      <c r="Q308" s="606"/>
      <c r="R308" s="606"/>
      <c r="S308" s="606"/>
      <c r="T308" s="606"/>
      <c r="U308" s="126"/>
    </row>
    <row r="309" spans="1:21" ht="15" hidden="1" customHeight="1" outlineLevel="1">
      <c r="C309" s="70"/>
      <c r="D309" s="71"/>
      <c r="E309" s="72"/>
      <c r="F309" s="73"/>
      <c r="G309" s="73"/>
      <c r="H309" s="73"/>
      <c r="I309" s="73"/>
      <c r="J309" s="130"/>
      <c r="K309" s="130"/>
      <c r="L309" s="130"/>
      <c r="M309" s="130"/>
      <c r="N309" s="130"/>
      <c r="O309" s="130"/>
      <c r="P309" s="73"/>
      <c r="Q309" s="73"/>
      <c r="R309" s="73"/>
      <c r="S309" s="73"/>
      <c r="T309" s="73"/>
      <c r="U309" s="69"/>
    </row>
    <row r="310" spans="1:21" ht="15" hidden="1" customHeight="1" outlineLevel="1" thickBot="1">
      <c r="B310" s="10" t="s">
        <v>8</v>
      </c>
      <c r="C310" s="57"/>
      <c r="D310" s="71"/>
      <c r="E310" s="74"/>
      <c r="F310" s="74"/>
      <c r="G310" s="74"/>
      <c r="H310" s="131"/>
      <c r="I310" s="11"/>
      <c r="J310" s="99"/>
      <c r="K310" s="577">
        <f>$K$5</f>
        <v>2025</v>
      </c>
      <c r="L310" s="577">
        <f>$L$5</f>
        <v>2026</v>
      </c>
      <c r="M310" s="577">
        <f>$M$5</f>
        <v>2027</v>
      </c>
      <c r="N310" s="577">
        <f>$N$5</f>
        <v>2028</v>
      </c>
      <c r="O310" s="577">
        <f>$O$5</f>
        <v>2029</v>
      </c>
      <c r="P310" s="577">
        <f>$P$5</f>
        <v>2030</v>
      </c>
      <c r="Q310" s="577">
        <f>$Q$5</f>
        <v>2031</v>
      </c>
      <c r="R310" s="577">
        <f>$R$5</f>
        <v>2032</v>
      </c>
      <c r="S310" s="577">
        <f>$S$5</f>
        <v>2033</v>
      </c>
      <c r="T310" s="577">
        <f>$T$5</f>
        <v>2034</v>
      </c>
      <c r="U310" s="69"/>
    </row>
    <row r="311" spans="1:21" ht="15" hidden="1" customHeight="1" outlineLevel="1">
      <c r="B311" s="10" t="str">
        <f>$B$6</f>
        <v>Model Running: Base Case Drivers</v>
      </c>
      <c r="C311" s="57"/>
      <c r="D311" s="71"/>
      <c r="E311" s="74"/>
      <c r="F311" s="74"/>
      <c r="G311" s="74"/>
      <c r="H311" s="74"/>
      <c r="I311" s="74"/>
      <c r="J311" s="9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</row>
    <row r="312" spans="1:21" ht="15" hidden="1" customHeight="1" outlineLevel="1">
      <c r="B312" s="10"/>
      <c r="C312" s="57"/>
      <c r="D312" s="71"/>
      <c r="E312" s="74"/>
      <c r="F312" s="74"/>
      <c r="G312" s="74"/>
      <c r="H312" s="74"/>
      <c r="I312" s="74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</row>
    <row r="313" spans="1:21" ht="15" hidden="1" customHeight="1" outlineLevel="1">
      <c r="C313" s="57"/>
      <c r="D313" s="71"/>
      <c r="E313" s="74"/>
      <c r="F313" s="74"/>
      <c r="G313" s="74"/>
      <c r="H313" s="74"/>
      <c r="I313" s="74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</row>
    <row r="314" spans="1:21" ht="15" hidden="1" customHeight="1" outlineLevel="1">
      <c r="B314" s="104" t="s">
        <v>85</v>
      </c>
      <c r="C314" s="103"/>
      <c r="D314" s="103"/>
      <c r="F314" s="104"/>
      <c r="G314" s="103"/>
      <c r="H314" s="103"/>
      <c r="I314" s="104"/>
      <c r="J314" s="104"/>
      <c r="K314" s="104"/>
      <c r="L314" s="104"/>
      <c r="M314" s="104"/>
      <c r="N314" s="104"/>
      <c r="O314" s="104"/>
      <c r="P314" s="104"/>
      <c r="Q314" s="103"/>
      <c r="R314" s="103"/>
      <c r="S314" s="103"/>
      <c r="T314" s="103"/>
      <c r="U314" s="220"/>
    </row>
    <row r="315" spans="1:21" ht="15" hidden="1" customHeight="1" outlineLevel="1">
      <c r="C315" s="21" t="s">
        <v>6</v>
      </c>
      <c r="D315" s="107"/>
      <c r="F315" s="91"/>
      <c r="G315" s="75"/>
      <c r="H315" s="88"/>
      <c r="I315" s="91"/>
      <c r="J315" s="99"/>
      <c r="K315" s="91">
        <f>J318</f>
        <v>4303479.8869542982</v>
      </c>
      <c r="L315" s="91">
        <f t="shared" ref="L315:T315" si="138">K318</f>
        <v>4303479.8869542982</v>
      </c>
      <c r="M315" s="91">
        <f t="shared" si="138"/>
        <v>4303479.8869542982</v>
      </c>
      <c r="N315" s="91">
        <f t="shared" si="138"/>
        <v>4303479.8869542982</v>
      </c>
      <c r="O315" s="91">
        <f t="shared" si="138"/>
        <v>4303479.8869542982</v>
      </c>
      <c r="P315" s="91">
        <f t="shared" si="138"/>
        <v>4303479.8869542982</v>
      </c>
      <c r="Q315" s="91">
        <f t="shared" si="138"/>
        <v>4303479.8869542982</v>
      </c>
      <c r="R315" s="91">
        <f t="shared" si="138"/>
        <v>4303479.8869542982</v>
      </c>
      <c r="S315" s="91">
        <f t="shared" si="138"/>
        <v>4303479.8869542982</v>
      </c>
      <c r="T315" s="91">
        <f t="shared" si="138"/>
        <v>4303479.8869542982</v>
      </c>
      <c r="U315" s="220"/>
    </row>
    <row r="316" spans="1:21" ht="15" hidden="1" customHeight="1" outlineLevel="1">
      <c r="C316" s="21" t="s">
        <v>77</v>
      </c>
      <c r="D316" s="221"/>
      <c r="F316" s="99"/>
      <c r="G316" s="76"/>
      <c r="H316" s="76"/>
      <c r="I316" s="99"/>
      <c r="J316" s="99"/>
      <c r="K316" s="91">
        <f>'Forecasting Assumptions'!G88</f>
        <v>0</v>
      </c>
      <c r="L316" s="91">
        <f>'Forecasting Assumptions'!H88</f>
        <v>0</v>
      </c>
      <c r="M316" s="91">
        <f>'Forecasting Assumptions'!I88</f>
        <v>0</v>
      </c>
      <c r="N316" s="91">
        <f>'Forecasting Assumptions'!J88</f>
        <v>0</v>
      </c>
      <c r="O316" s="91">
        <f>'Forecasting Assumptions'!K88</f>
        <v>0</v>
      </c>
      <c r="P316" s="91">
        <f>'Forecasting Assumptions'!L88</f>
        <v>0</v>
      </c>
      <c r="Q316" s="91">
        <f>'Forecasting Assumptions'!M88</f>
        <v>0</v>
      </c>
      <c r="R316" s="91">
        <f>'Forecasting Assumptions'!N88</f>
        <v>0</v>
      </c>
      <c r="S316" s="91">
        <f>'Forecasting Assumptions'!O88</f>
        <v>0</v>
      </c>
      <c r="T316" s="91">
        <f>'Forecasting Assumptions'!P88</f>
        <v>0</v>
      </c>
      <c r="U316" s="220"/>
    </row>
    <row r="317" spans="1:21" ht="15" hidden="1" customHeight="1" outlineLevel="1">
      <c r="C317" s="21" t="s">
        <v>78</v>
      </c>
      <c r="D317" s="221"/>
      <c r="F317" s="99"/>
      <c r="G317" s="99"/>
      <c r="H317" s="99"/>
      <c r="I317" s="99"/>
      <c r="J317" s="99"/>
      <c r="K317" s="91">
        <f>'Forecasting Assumptions'!G95</f>
        <v>0</v>
      </c>
      <c r="L317" s="91">
        <f>'Forecasting Assumptions'!H95</f>
        <v>0</v>
      </c>
      <c r="M317" s="91">
        <f>'Forecasting Assumptions'!I95</f>
        <v>0</v>
      </c>
      <c r="N317" s="91">
        <f>'Forecasting Assumptions'!J95</f>
        <v>0</v>
      </c>
      <c r="O317" s="91">
        <f>'Forecasting Assumptions'!K95</f>
        <v>0</v>
      </c>
      <c r="P317" s="91">
        <f>'Forecasting Assumptions'!L95</f>
        <v>0</v>
      </c>
      <c r="Q317" s="91">
        <f>'Forecasting Assumptions'!M95</f>
        <v>0</v>
      </c>
      <c r="R317" s="91">
        <f>'Forecasting Assumptions'!N95</f>
        <v>0</v>
      </c>
      <c r="S317" s="91">
        <f>'Forecasting Assumptions'!O95</f>
        <v>0</v>
      </c>
      <c r="T317" s="91">
        <f>'Forecasting Assumptions'!P95</f>
        <v>0</v>
      </c>
      <c r="U317" s="220"/>
    </row>
    <row r="318" spans="1:21" ht="15" hidden="1" customHeight="1" outlineLevel="1">
      <c r="C318" s="13" t="s">
        <v>7</v>
      </c>
      <c r="D318" s="219"/>
      <c r="F318" s="91"/>
      <c r="G318" s="91"/>
      <c r="H318" s="91"/>
      <c r="I318" s="91"/>
      <c r="J318" s="91">
        <f>'Transaction Assumptions'!C43</f>
        <v>4303479.8869542982</v>
      </c>
      <c r="K318" s="345">
        <f>SUM(K315:K317)</f>
        <v>4303479.8869542982</v>
      </c>
      <c r="L318" s="345">
        <f t="shared" ref="L318:T318" si="139">SUM(L315:L317)</f>
        <v>4303479.8869542982</v>
      </c>
      <c r="M318" s="345">
        <f>SUM(M315:M317)</f>
        <v>4303479.8869542982</v>
      </c>
      <c r="N318" s="345">
        <f t="shared" si="139"/>
        <v>4303479.8869542982</v>
      </c>
      <c r="O318" s="345">
        <f t="shared" si="139"/>
        <v>4303479.8869542982</v>
      </c>
      <c r="P318" s="345">
        <f>SUM(P315:P317)</f>
        <v>4303479.8869542982</v>
      </c>
      <c r="Q318" s="345">
        <f t="shared" si="139"/>
        <v>4303479.8869542982</v>
      </c>
      <c r="R318" s="345">
        <f t="shared" si="139"/>
        <v>4303479.8869542982</v>
      </c>
      <c r="S318" s="345">
        <f t="shared" si="139"/>
        <v>4303479.8869542982</v>
      </c>
      <c r="T318" s="345">
        <f t="shared" si="139"/>
        <v>4303479.8869542982</v>
      </c>
      <c r="U318" s="220"/>
    </row>
    <row r="319" spans="1:21" ht="15" hidden="1" customHeight="1" outlineLevel="1">
      <c r="B319" s="104"/>
      <c r="C319" s="104"/>
      <c r="D319" s="108"/>
      <c r="F319" s="93"/>
      <c r="G319" s="93"/>
      <c r="H319" s="93"/>
      <c r="I319" s="93"/>
      <c r="J319" s="99"/>
      <c r="K319" s="93"/>
      <c r="L319" s="93"/>
      <c r="M319" s="93"/>
      <c r="N319" s="93"/>
      <c r="O319" s="93"/>
      <c r="P319" s="93"/>
      <c r="Q319" s="93"/>
      <c r="R319" s="93"/>
      <c r="S319" s="93"/>
      <c r="T319" s="93"/>
      <c r="U319" s="125"/>
    </row>
    <row r="320" spans="1:21" ht="15" hidden="1" customHeight="1" outlineLevel="1">
      <c r="B320" s="67"/>
      <c r="C320" s="67"/>
      <c r="D320" s="219"/>
      <c r="F320" s="91"/>
      <c r="G320" s="91"/>
      <c r="H320" s="91"/>
      <c r="I320" s="91"/>
      <c r="J320" s="99"/>
      <c r="K320" s="91"/>
      <c r="L320" s="91"/>
      <c r="M320" s="91"/>
      <c r="N320" s="91"/>
      <c r="O320" s="91"/>
      <c r="P320" s="91"/>
      <c r="Q320" s="91"/>
      <c r="R320" s="91"/>
      <c r="S320" s="91"/>
      <c r="T320" s="91"/>
      <c r="U320" s="220"/>
    </row>
    <row r="321" spans="1:21" ht="15" hidden="1" customHeight="1" outlineLevel="1">
      <c r="B321" s="104" t="s">
        <v>86</v>
      </c>
      <c r="C321" s="104"/>
      <c r="D321" s="104"/>
      <c r="F321" s="93"/>
      <c r="G321" s="93"/>
      <c r="H321" s="95"/>
      <c r="I321" s="93"/>
      <c r="J321" s="93"/>
      <c r="K321" s="93"/>
      <c r="L321" s="93"/>
      <c r="M321" s="93"/>
      <c r="N321" s="93"/>
      <c r="O321" s="93"/>
      <c r="P321" s="93"/>
      <c r="Q321" s="95"/>
      <c r="R321" s="95"/>
      <c r="S321" s="95"/>
      <c r="T321" s="95"/>
      <c r="U321" s="220"/>
    </row>
    <row r="322" spans="1:21" ht="15" hidden="1" customHeight="1" outlineLevel="1">
      <c r="C322" s="21" t="s">
        <v>6</v>
      </c>
      <c r="D322" s="219"/>
      <c r="F322" s="100"/>
      <c r="G322" s="91"/>
      <c r="H322" s="75"/>
      <c r="I322" s="91"/>
      <c r="J322" s="91"/>
      <c r="K322" s="91">
        <f>J325</f>
        <v>-45000</v>
      </c>
      <c r="L322" s="91">
        <f t="shared" ref="L322:T322" si="140">K325</f>
        <v>-221251.97239338988</v>
      </c>
      <c r="M322" s="91">
        <f t="shared" si="140"/>
        <v>-313007.59468959889</v>
      </c>
      <c r="N322" s="91">
        <f t="shared" si="140"/>
        <v>-322864.4722367606</v>
      </c>
      <c r="O322" s="91">
        <f t="shared" si="140"/>
        <v>-214175.36970826684</v>
      </c>
      <c r="P322" s="91">
        <f t="shared" si="140"/>
        <v>46768.686960772437</v>
      </c>
      <c r="Q322" s="91">
        <f t="shared" si="140"/>
        <v>557100.48557618703</v>
      </c>
      <c r="R322" s="91">
        <f t="shared" si="140"/>
        <v>1307962.4542584291</v>
      </c>
      <c r="S322" s="91">
        <f t="shared" si="140"/>
        <v>2232689.8986845543</v>
      </c>
      <c r="T322" s="91">
        <f t="shared" si="140"/>
        <v>3371739.2475522775</v>
      </c>
      <c r="U322" s="220"/>
    </row>
    <row r="323" spans="1:21" ht="15" hidden="1" customHeight="1" outlineLevel="1">
      <c r="C323" s="21" t="s">
        <v>224</v>
      </c>
      <c r="D323" s="218"/>
      <c r="F323" s="92"/>
      <c r="G323" s="91"/>
      <c r="H323" s="75"/>
      <c r="I323" s="91"/>
      <c r="J323" s="91"/>
      <c r="K323" s="91">
        <f t="shared" ref="K323:T323" si="141">K27</f>
        <v>-176251.97239338988</v>
      </c>
      <c r="L323" s="91">
        <f t="shared" si="141"/>
        <v>-91755.622296208981</v>
      </c>
      <c r="M323" s="91">
        <f t="shared" si="141"/>
        <v>-9856.8775471617118</v>
      </c>
      <c r="N323" s="91">
        <f t="shared" si="141"/>
        <v>108689.10252849376</v>
      </c>
      <c r="O323" s="91">
        <f t="shared" si="141"/>
        <v>260944.05666903927</v>
      </c>
      <c r="P323" s="91">
        <f t="shared" si="141"/>
        <v>510331.79861541465</v>
      </c>
      <c r="Q323" s="91">
        <f t="shared" si="141"/>
        <v>750861.96868224209</v>
      </c>
      <c r="R323" s="91">
        <f t="shared" si="141"/>
        <v>924727.44442612503</v>
      </c>
      <c r="S323" s="91">
        <f t="shared" si="141"/>
        <v>1139049.348867723</v>
      </c>
      <c r="T323" s="91">
        <f t="shared" si="141"/>
        <v>1269073.8532085484</v>
      </c>
      <c r="U323" s="220"/>
    </row>
    <row r="324" spans="1:21" ht="15" hidden="1" customHeight="1" outlineLevel="1">
      <c r="C324" s="21" t="s">
        <v>79</v>
      </c>
      <c r="D324" s="218"/>
      <c r="F324" s="97"/>
      <c r="G324" s="99"/>
      <c r="H324" s="99"/>
      <c r="I324" s="99"/>
      <c r="J324" s="134"/>
      <c r="K324" s="91">
        <f>'Transaction Assumptions'!$J$29</f>
        <v>0</v>
      </c>
      <c r="L324" s="91">
        <f>'Transaction Assumptions'!$J$29</f>
        <v>0</v>
      </c>
      <c r="M324" s="91">
        <f>'Transaction Assumptions'!$J$29</f>
        <v>0</v>
      </c>
      <c r="N324" s="91">
        <f>'Transaction Assumptions'!$J$29</f>
        <v>0</v>
      </c>
      <c r="O324" s="91">
        <f>'Transaction Assumptions'!$J$29</f>
        <v>0</v>
      </c>
      <c r="P324" s="91">
        <f>'Transaction Assumptions'!$J$29</f>
        <v>0</v>
      </c>
      <c r="Q324" s="91">
        <f>'Transaction Assumptions'!$J$29</f>
        <v>0</v>
      </c>
      <c r="R324" s="91">
        <f>'Transaction Assumptions'!$J$29</f>
        <v>0</v>
      </c>
      <c r="S324" s="91">
        <f>'Transaction Assumptions'!$J$29</f>
        <v>0</v>
      </c>
      <c r="T324" s="91">
        <f>'Transaction Assumptions'!$J$29</f>
        <v>0</v>
      </c>
      <c r="U324" s="220"/>
    </row>
    <row r="325" spans="1:21" ht="15" hidden="1" customHeight="1" outlineLevel="1">
      <c r="C325" s="13" t="s">
        <v>7</v>
      </c>
      <c r="D325" s="218"/>
      <c r="F325" s="92"/>
      <c r="G325" s="91"/>
      <c r="H325" s="91"/>
      <c r="I325" s="91"/>
      <c r="J325" s="345">
        <f>-'Transaction Assumptions'!N10</f>
        <v>-45000</v>
      </c>
      <c r="K325" s="339">
        <f>SUM(K322:K324)</f>
        <v>-221251.97239338988</v>
      </c>
      <c r="L325" s="339">
        <f t="shared" ref="L325:T325" si="142">SUM(L322:L324)</f>
        <v>-313007.59468959889</v>
      </c>
      <c r="M325" s="339">
        <f t="shared" si="142"/>
        <v>-322864.4722367606</v>
      </c>
      <c r="N325" s="339">
        <f t="shared" si="142"/>
        <v>-214175.36970826684</v>
      </c>
      <c r="O325" s="339">
        <f t="shared" si="142"/>
        <v>46768.686960772437</v>
      </c>
      <c r="P325" s="339">
        <f t="shared" si="142"/>
        <v>557100.48557618703</v>
      </c>
      <c r="Q325" s="339">
        <f t="shared" si="142"/>
        <v>1307962.4542584291</v>
      </c>
      <c r="R325" s="339">
        <f t="shared" si="142"/>
        <v>2232689.8986845543</v>
      </c>
      <c r="S325" s="339">
        <f t="shared" si="142"/>
        <v>3371739.2475522775</v>
      </c>
      <c r="T325" s="339">
        <f t="shared" si="142"/>
        <v>4640813.1007608259</v>
      </c>
      <c r="U325" s="220"/>
    </row>
    <row r="326" spans="1:21" ht="15" hidden="1" customHeight="1" outlineLevel="1">
      <c r="B326" s="216"/>
      <c r="C326" s="101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220"/>
    </row>
    <row r="327" spans="1:21" ht="15" customHeight="1" collapsed="1">
      <c r="C327" s="67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7"/>
    </row>
    <row r="328" spans="1:21" ht="15" customHeight="1">
      <c r="A328" s="215" t="s">
        <v>39</v>
      </c>
      <c r="B328" s="515" t="s">
        <v>184</v>
      </c>
      <c r="C328" s="520"/>
      <c r="D328" s="516"/>
      <c r="E328" s="517"/>
      <c r="F328" s="605"/>
      <c r="G328" s="606"/>
      <c r="H328" s="606"/>
      <c r="I328" s="606"/>
      <c r="J328" s="606"/>
      <c r="K328" s="606"/>
      <c r="L328" s="606"/>
      <c r="M328" s="606"/>
      <c r="N328" s="606"/>
      <c r="O328" s="606"/>
      <c r="P328" s="606"/>
      <c r="Q328" s="606"/>
      <c r="R328" s="606"/>
      <c r="S328" s="606"/>
      <c r="T328" s="606"/>
      <c r="U328" s="67"/>
    </row>
    <row r="329" spans="1:21" ht="15" hidden="1" customHeight="1" outlineLevel="1">
      <c r="C329" s="70"/>
      <c r="D329" s="71"/>
      <c r="E329" s="72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67"/>
    </row>
    <row r="330" spans="1:21" ht="15" hidden="1" customHeight="1" outlineLevel="1">
      <c r="B330" s="10" t="s">
        <v>8</v>
      </c>
      <c r="C330" s="57"/>
      <c r="D330" s="71"/>
      <c r="E330" s="74"/>
      <c r="F330" s="74"/>
      <c r="G330" s="74"/>
      <c r="H330" s="74"/>
      <c r="J330" s="73"/>
      <c r="K330" s="608">
        <f>$K$5</f>
        <v>2025</v>
      </c>
      <c r="L330" s="608">
        <f>$L$5</f>
        <v>2026</v>
      </c>
      <c r="M330" s="608">
        <f>$M$5</f>
        <v>2027</v>
      </c>
      <c r="N330" s="608">
        <f>$N$5</f>
        <v>2028</v>
      </c>
      <c r="O330" s="608">
        <f>$O$5</f>
        <v>2029</v>
      </c>
      <c r="P330" s="608">
        <f>$P$5</f>
        <v>2030</v>
      </c>
      <c r="Q330" s="608">
        <f>$Q$5</f>
        <v>2031</v>
      </c>
      <c r="R330" s="608">
        <f>$R$5</f>
        <v>2032</v>
      </c>
      <c r="S330" s="608">
        <f>$S$5</f>
        <v>2033</v>
      </c>
      <c r="T330" s="608">
        <f>$T$5</f>
        <v>2034</v>
      </c>
    </row>
    <row r="331" spans="1:21" ht="15" hidden="1" customHeight="1" outlineLevel="1" thickBot="1">
      <c r="B331" s="10" t="str">
        <f>$B$6</f>
        <v>Model Running: Base Case Drivers</v>
      </c>
      <c r="C331" s="57"/>
      <c r="D331" s="71"/>
      <c r="E331" s="74"/>
      <c r="F331" s="74"/>
      <c r="G331" s="74"/>
      <c r="H331" s="74"/>
      <c r="J331" s="73">
        <f>$J$5</f>
        <v>2024</v>
      </c>
      <c r="K331" s="607">
        <v>1</v>
      </c>
      <c r="L331" s="607">
        <v>2</v>
      </c>
      <c r="M331" s="607">
        <v>3</v>
      </c>
      <c r="N331" s="607">
        <v>4</v>
      </c>
      <c r="O331" s="607">
        <v>5</v>
      </c>
      <c r="P331" s="607">
        <v>6</v>
      </c>
      <c r="Q331" s="607">
        <v>7</v>
      </c>
      <c r="R331" s="607">
        <v>8</v>
      </c>
      <c r="S331" s="607">
        <v>9</v>
      </c>
      <c r="T331" s="607">
        <v>10</v>
      </c>
    </row>
    <row r="332" spans="1:21" ht="15" hidden="1" customHeight="1" outlineLevel="1">
      <c r="C332" s="57"/>
      <c r="D332" s="71" t="s">
        <v>39</v>
      </c>
      <c r="E332" s="74"/>
      <c r="F332" s="74"/>
      <c r="G332" s="74"/>
      <c r="H332" s="74"/>
      <c r="J332" s="74"/>
      <c r="K332" s="74"/>
      <c r="L332" s="74"/>
      <c r="M332" s="74"/>
      <c r="N332" s="74"/>
      <c r="O332" s="74"/>
      <c r="P332" s="69"/>
      <c r="Q332" s="69"/>
      <c r="R332" s="69"/>
      <c r="S332" s="69"/>
      <c r="T332" s="69"/>
    </row>
    <row r="333" spans="1:21" ht="15" hidden="1" customHeight="1" outlineLevel="1">
      <c r="B333" s="176" t="s">
        <v>187</v>
      </c>
      <c r="C333" s="104"/>
      <c r="D333" s="104"/>
      <c r="F333" s="93"/>
      <c r="G333" s="93"/>
      <c r="H333" s="95"/>
      <c r="I333" s="93"/>
      <c r="J333" s="93"/>
      <c r="K333" s="93"/>
      <c r="L333" s="93"/>
      <c r="M333" s="93"/>
      <c r="N333" s="93"/>
      <c r="O333" s="93"/>
      <c r="P333" s="93"/>
      <c r="Q333" s="95"/>
      <c r="R333" s="95"/>
      <c r="S333" s="95"/>
      <c r="T333" s="95"/>
      <c r="U333" s="220"/>
    </row>
    <row r="334" spans="1:21" ht="15" hidden="1" customHeight="1" outlineLevel="1">
      <c r="C334" s="21" t="s">
        <v>12</v>
      </c>
      <c r="E334" s="87"/>
      <c r="F334" s="109"/>
      <c r="G334" s="109"/>
      <c r="H334" s="109"/>
      <c r="J334" s="92"/>
      <c r="K334" s="85">
        <f t="shared" ref="K334:T334" si="143">K17</f>
        <v>31145.985000000077</v>
      </c>
      <c r="L334" s="85">
        <f t="shared" si="143"/>
        <v>129567.29760000014</v>
      </c>
      <c r="M334" s="85">
        <f t="shared" si="143"/>
        <v>231601.54445999995</v>
      </c>
      <c r="N334" s="85">
        <f t="shared" si="143"/>
        <v>407408.17139100027</v>
      </c>
      <c r="O334" s="85">
        <f t="shared" si="143"/>
        <v>630667.84931326832</v>
      </c>
      <c r="P334" s="85">
        <f t="shared" si="143"/>
        <v>981249.09932596632</v>
      </c>
      <c r="Q334" s="85">
        <f t="shared" si="143"/>
        <v>1312376.0681166924</v>
      </c>
      <c r="R334" s="85">
        <f t="shared" si="143"/>
        <v>1545979.0082414635</v>
      </c>
      <c r="S334" s="85">
        <f t="shared" si="143"/>
        <v>1821356.5190844748</v>
      </c>
      <c r="T334" s="85">
        <f t="shared" si="143"/>
        <v>1974350.4666875703</v>
      </c>
    </row>
    <row r="335" spans="1:21" ht="15" hidden="1" customHeight="1" outlineLevel="1">
      <c r="C335" s="21" t="s">
        <v>15</v>
      </c>
      <c r="K335" s="85">
        <f t="shared" ref="K335:T335" si="144">K166</f>
        <v>0</v>
      </c>
      <c r="L335" s="85">
        <f t="shared" si="144"/>
        <v>0</v>
      </c>
      <c r="M335" s="85">
        <f t="shared" si="144"/>
        <v>0</v>
      </c>
      <c r="N335" s="85">
        <f t="shared" si="144"/>
        <v>0</v>
      </c>
      <c r="O335" s="85">
        <f t="shared" si="144"/>
        <v>0</v>
      </c>
      <c r="P335" s="85">
        <f t="shared" si="144"/>
        <v>126705.53454512573</v>
      </c>
      <c r="Q335" s="85">
        <f t="shared" si="144"/>
        <v>250287.32289408069</v>
      </c>
      <c r="R335" s="85">
        <f t="shared" si="144"/>
        <v>308242.48147537501</v>
      </c>
      <c r="S335" s="85">
        <f t="shared" si="144"/>
        <v>379683.11628924101</v>
      </c>
      <c r="T335" s="85">
        <f t="shared" si="144"/>
        <v>423024.61773618276</v>
      </c>
      <c r="U335" s="282"/>
    </row>
    <row r="336" spans="1:21" ht="15" hidden="1" customHeight="1" outlineLevel="1">
      <c r="C336" s="21" t="s">
        <v>28</v>
      </c>
      <c r="E336" s="98"/>
      <c r="F336" s="110"/>
      <c r="G336" s="110"/>
      <c r="H336" s="110"/>
      <c r="J336" s="91"/>
      <c r="K336" s="85">
        <f t="shared" ref="K336:T336" si="145">+K130</f>
        <v>24916.788000000004</v>
      </c>
      <c r="L336" s="85">
        <f t="shared" si="145"/>
        <v>32391.824400000005</v>
      </c>
      <c r="M336" s="85">
        <f t="shared" si="145"/>
        <v>42109.371720000003</v>
      </c>
      <c r="N336" s="85">
        <f t="shared" si="145"/>
        <v>54321.089518800007</v>
      </c>
      <c r="O336" s="85">
        <f t="shared" si="145"/>
        <v>70074.205479252021</v>
      </c>
      <c r="P336" s="85">
        <f t="shared" si="145"/>
        <v>89204.463575087822</v>
      </c>
      <c r="Q336" s="85">
        <f t="shared" si="145"/>
        <v>109364.67234305768</v>
      </c>
      <c r="R336" s="85">
        <f t="shared" si="145"/>
        <v>128831.58402012194</v>
      </c>
      <c r="S336" s="85">
        <f t="shared" si="145"/>
        <v>145708.52152675792</v>
      </c>
      <c r="T336" s="85">
        <f t="shared" si="145"/>
        <v>157948.03733500559</v>
      </c>
    </row>
    <row r="337" spans="2:21" ht="15" hidden="1" customHeight="1" outlineLevel="1">
      <c r="C337" s="21" t="s">
        <v>164</v>
      </c>
      <c r="E337" s="87"/>
      <c r="F337" s="109"/>
      <c r="G337" s="109"/>
      <c r="H337" s="109"/>
      <c r="J337" s="92"/>
      <c r="K337" s="85">
        <f t="shared" ref="K337:T337" si="146">+K305</f>
        <v>182481.16939338995</v>
      </c>
      <c r="L337" s="85">
        <f t="shared" si="146"/>
        <v>188931.09549620911</v>
      </c>
      <c r="M337" s="85">
        <f t="shared" si="146"/>
        <v>199349.05028716166</v>
      </c>
      <c r="N337" s="85">
        <f t="shared" si="146"/>
        <v>208168.27850087523</v>
      </c>
      <c r="O337" s="85">
        <f t="shared" si="146"/>
        <v>212668.23494196392</v>
      </c>
      <c r="P337" s="85">
        <f t="shared" si="146"/>
        <v>211602.23759699223</v>
      </c>
      <c r="Q337" s="85">
        <f t="shared" si="146"/>
        <v>201862.10419731203</v>
      </c>
      <c r="R337" s="85">
        <f t="shared" si="146"/>
        <v>184177.49831984154</v>
      </c>
      <c r="S337" s="85">
        <f t="shared" si="146"/>
        <v>156915.53240075277</v>
      </c>
      <c r="T337" s="85">
        <f t="shared" si="146"/>
        <v>124303.95840783374</v>
      </c>
    </row>
    <row r="338" spans="2:21" ht="15" hidden="1" customHeight="1" outlineLevel="1">
      <c r="C338" s="21" t="s">
        <v>165</v>
      </c>
      <c r="E338" s="98"/>
      <c r="F338" s="110"/>
      <c r="G338" s="110"/>
      <c r="H338" s="110"/>
      <c r="J338" s="91"/>
      <c r="K338" s="85">
        <f t="shared" ref="K338:T338" si="147">-K183</f>
        <v>54083.141565191996</v>
      </c>
      <c r="L338" s="85">
        <f t="shared" si="147"/>
        <v>54083.141565191996</v>
      </c>
      <c r="M338" s="85">
        <f t="shared" si="147"/>
        <v>54083.141565191996</v>
      </c>
      <c r="N338" s="85">
        <f t="shared" si="147"/>
        <v>54083.141565191996</v>
      </c>
      <c r="O338" s="85">
        <f t="shared" si="147"/>
        <v>54083.141565191996</v>
      </c>
      <c r="P338" s="85">
        <f t="shared" si="147"/>
        <v>0</v>
      </c>
      <c r="Q338" s="85">
        <f t="shared" si="147"/>
        <v>0</v>
      </c>
      <c r="R338" s="85">
        <f t="shared" si="147"/>
        <v>0</v>
      </c>
      <c r="S338" s="85">
        <f t="shared" si="147"/>
        <v>0</v>
      </c>
      <c r="T338" s="85">
        <f t="shared" si="147"/>
        <v>0</v>
      </c>
    </row>
    <row r="339" spans="2:21" ht="15" hidden="1" customHeight="1" outlineLevel="1">
      <c r="C339" s="13" t="s">
        <v>48</v>
      </c>
      <c r="E339" s="87"/>
      <c r="F339" s="109"/>
      <c r="G339" s="109"/>
      <c r="H339" s="109"/>
      <c r="J339" s="91"/>
      <c r="K339" s="85">
        <f t="shared" ref="K339:T339" si="148">K289</f>
        <v>2002277.5252305549</v>
      </c>
      <c r="L339" s="85">
        <f t="shared" si="148"/>
        <v>2122168.8149103262</v>
      </c>
      <c r="M339" s="85">
        <f t="shared" si="148"/>
        <v>2198282.8596652956</v>
      </c>
      <c r="N339" s="85">
        <f t="shared" si="148"/>
        <v>2175071.0083165811</v>
      </c>
      <c r="O339" s="85">
        <f t="shared" si="148"/>
        <v>2135191.9622686044</v>
      </c>
      <c r="P339" s="85">
        <f t="shared" si="148"/>
        <v>2188571.7613253198</v>
      </c>
      <c r="Q339" s="85">
        <f t="shared" si="148"/>
        <v>2243286.0553584527</v>
      </c>
      <c r="R339" s="85">
        <f t="shared" si="148"/>
        <v>2299368.2067424143</v>
      </c>
      <c r="S339" s="85">
        <f t="shared" si="148"/>
        <v>2356852.4119109744</v>
      </c>
      <c r="T339" s="85">
        <f t="shared" si="148"/>
        <v>2415773.7222087486</v>
      </c>
    </row>
    <row r="340" spans="2:21" ht="15" hidden="1" customHeight="1" outlineLevel="1">
      <c r="B340" s="176"/>
      <c r="C340" s="200"/>
      <c r="E340" s="111"/>
      <c r="F340" s="274"/>
      <c r="G340" s="104"/>
      <c r="I340" s="93"/>
      <c r="J340" s="93"/>
      <c r="K340" s="93"/>
      <c r="L340" s="93"/>
      <c r="M340" s="93"/>
      <c r="N340" s="93"/>
      <c r="O340" s="93"/>
      <c r="P340" s="93"/>
      <c r="Q340" s="95"/>
      <c r="R340" s="95"/>
      <c r="S340" s="95"/>
      <c r="T340" s="95"/>
      <c r="U340" s="220"/>
    </row>
    <row r="341" spans="2:21" ht="15" hidden="1" customHeight="1" outlineLevel="1">
      <c r="C341" s="104"/>
      <c r="D341" s="104"/>
      <c r="F341" s="95"/>
      <c r="G341" s="93"/>
      <c r="H341" s="305"/>
      <c r="I341" s="93"/>
      <c r="J341" s="93"/>
      <c r="K341" s="93"/>
      <c r="L341" s="93"/>
      <c r="M341" s="93"/>
      <c r="N341" s="93"/>
      <c r="O341" s="93"/>
      <c r="P341" s="93"/>
      <c r="Q341" s="93"/>
      <c r="R341" s="93"/>
      <c r="S341" s="93"/>
      <c r="T341" s="93"/>
      <c r="U341" s="220"/>
    </row>
    <row r="342" spans="2:21" ht="15" hidden="1" customHeight="1" outlineLevel="1">
      <c r="B342" s="176" t="s">
        <v>129</v>
      </c>
      <c r="D342" s="104"/>
      <c r="G342" s="93"/>
      <c r="H342" s="200"/>
      <c r="I342" s="93"/>
      <c r="J342" s="93"/>
      <c r="K342" s="93"/>
      <c r="L342" s="93"/>
      <c r="M342" s="93"/>
      <c r="N342" s="93"/>
      <c r="O342" s="93"/>
      <c r="P342" s="93"/>
      <c r="Q342" s="93"/>
      <c r="R342" s="93"/>
      <c r="S342" s="93"/>
      <c r="T342" s="93"/>
      <c r="U342" s="220"/>
    </row>
    <row r="343" spans="2:21" ht="15" hidden="1" customHeight="1" outlineLevel="1">
      <c r="B343" s="176"/>
      <c r="C343" s="104"/>
      <c r="D343" s="104"/>
      <c r="F343" s="95"/>
      <c r="G343" s="93"/>
      <c r="I343" s="93"/>
      <c r="J343" s="93"/>
      <c r="K343" s="93"/>
      <c r="L343" s="93"/>
      <c r="M343" s="93"/>
      <c r="N343" s="93"/>
      <c r="O343" s="93"/>
      <c r="P343" s="93"/>
      <c r="Q343" s="93"/>
      <c r="R343" s="93"/>
      <c r="S343" s="93"/>
      <c r="T343" s="93"/>
      <c r="U343" s="220"/>
    </row>
    <row r="344" spans="2:21" ht="15" hidden="1" customHeight="1" outlineLevel="1">
      <c r="B344" s="176"/>
      <c r="C344" s="200" t="s">
        <v>135</v>
      </c>
      <c r="D344" s="104"/>
      <c r="F344" s="95"/>
      <c r="G344" s="93"/>
      <c r="H344" s="328">
        <f>'Transaction Assumptions'!D54</f>
        <v>6</v>
      </c>
      <c r="I344" s="93"/>
      <c r="J344" s="93"/>
      <c r="K344" s="93"/>
      <c r="L344" s="93"/>
      <c r="M344" s="93"/>
      <c r="N344" s="93"/>
      <c r="O344" s="93"/>
      <c r="P344" s="93"/>
      <c r="Q344" s="93"/>
      <c r="R344" s="93"/>
      <c r="S344" s="93"/>
      <c r="T344" s="93"/>
      <c r="U344" s="220"/>
    </row>
    <row r="345" spans="2:21" ht="15" hidden="1" customHeight="1" outlineLevel="1">
      <c r="B345" s="176"/>
      <c r="C345" s="200" t="s">
        <v>130</v>
      </c>
      <c r="E345" s="111"/>
      <c r="G345" s="104"/>
      <c r="H345" s="329">
        <f>'Transaction Assumptions'!D55</f>
        <v>4</v>
      </c>
      <c r="I345" s="93"/>
      <c r="J345" s="93"/>
      <c r="K345" s="93"/>
      <c r="L345" s="93"/>
      <c r="M345" s="93"/>
      <c r="N345" s="93"/>
      <c r="O345" s="93"/>
      <c r="P345" s="93"/>
      <c r="Q345" s="95"/>
      <c r="R345" s="95"/>
      <c r="S345" s="95"/>
      <c r="T345" s="95"/>
      <c r="U345" s="220"/>
    </row>
    <row r="346" spans="2:21" ht="15" hidden="1" customHeight="1" outlineLevel="1">
      <c r="B346" s="176"/>
      <c r="C346" s="58" t="s">
        <v>188</v>
      </c>
      <c r="E346" s="111"/>
      <c r="G346" s="104"/>
      <c r="H346" s="373">
        <f>'Transaction Assumptions'!$D$56</f>
        <v>0.5</v>
      </c>
      <c r="I346" s="93"/>
      <c r="J346" s="93"/>
      <c r="K346" s="93"/>
      <c r="L346" s="93"/>
      <c r="M346" s="93"/>
      <c r="N346" s="93"/>
      <c r="O346" s="93"/>
      <c r="P346" s="93"/>
      <c r="Q346" s="95"/>
      <c r="R346" s="95"/>
      <c r="S346" s="95"/>
      <c r="T346" s="95"/>
      <c r="U346" s="220"/>
    </row>
    <row r="347" spans="2:21" ht="15" hidden="1" customHeight="1" outlineLevel="1">
      <c r="B347" s="176"/>
      <c r="C347" s="200"/>
      <c r="E347" s="111"/>
      <c r="F347" s="272"/>
      <c r="G347" s="272"/>
      <c r="H347" s="272"/>
      <c r="I347" s="272"/>
      <c r="J347" s="93"/>
      <c r="K347" s="93"/>
      <c r="L347" s="93"/>
      <c r="M347" s="93"/>
      <c r="N347" s="93"/>
      <c r="O347" s="93"/>
      <c r="U347" s="220"/>
    </row>
    <row r="348" spans="2:21" ht="15" hidden="1" customHeight="1" outlineLevel="1">
      <c r="C348" s="200" t="s">
        <v>132</v>
      </c>
      <c r="H348" s="272"/>
      <c r="J348" s="104"/>
      <c r="K348" s="268">
        <v>0</v>
      </c>
      <c r="L348" s="268">
        <v>0</v>
      </c>
      <c r="M348" s="268">
        <v>0</v>
      </c>
      <c r="N348" s="268">
        <v>0</v>
      </c>
      <c r="O348" s="268" t="s">
        <v>316</v>
      </c>
      <c r="P348" s="268">
        <f>H345</f>
        <v>4</v>
      </c>
      <c r="Q348" s="268">
        <f t="shared" ref="Q348:T348" si="149">P348-$H$346</f>
        <v>3.5</v>
      </c>
      <c r="R348" s="268">
        <f t="shared" si="149"/>
        <v>3</v>
      </c>
      <c r="S348" s="268">
        <f t="shared" si="149"/>
        <v>2.5</v>
      </c>
      <c r="T348" s="268">
        <f t="shared" si="149"/>
        <v>2</v>
      </c>
    </row>
    <row r="349" spans="2:21" ht="15" hidden="1" customHeight="1" outlineLevel="1">
      <c r="C349" s="200" t="s">
        <v>116</v>
      </c>
      <c r="D349" s="315"/>
      <c r="E349" s="304"/>
      <c r="F349" s="315"/>
      <c r="G349" s="316"/>
      <c r="H349" s="272"/>
      <c r="I349" s="315"/>
      <c r="J349" s="89"/>
      <c r="K349" s="366">
        <f t="shared" ref="K349:T349" si="150">IFERROR(K339/K334,"n/a")</f>
        <v>64.286858329590473</v>
      </c>
      <c r="L349" s="366">
        <f t="shared" si="150"/>
        <v>16.378892314802158</v>
      </c>
      <c r="M349" s="366">
        <f t="shared" si="150"/>
        <v>9.4916588954136376</v>
      </c>
      <c r="N349" s="366">
        <f t="shared" si="150"/>
        <v>5.3388006452848211</v>
      </c>
      <c r="O349" s="366">
        <f t="shared" si="150"/>
        <v>3.385604585034113</v>
      </c>
      <c r="P349" s="366">
        <f t="shared" si="150"/>
        <v>2.2303936511418763</v>
      </c>
      <c r="Q349" s="366">
        <f t="shared" si="150"/>
        <v>1.7093317303306592</v>
      </c>
      <c r="R349" s="366">
        <f t="shared" si="150"/>
        <v>1.4873217517732817</v>
      </c>
      <c r="S349" s="366">
        <f t="shared" si="150"/>
        <v>1.2940093755481066</v>
      </c>
      <c r="T349" s="366">
        <f t="shared" si="150"/>
        <v>1.2235789759564664</v>
      </c>
    </row>
    <row r="350" spans="2:21" ht="15" hidden="1" customHeight="1" outlineLevel="1">
      <c r="C350" s="104"/>
      <c r="D350" s="104"/>
      <c r="G350" s="93"/>
      <c r="H350" s="305"/>
      <c r="I350" s="93"/>
      <c r="J350" s="93"/>
      <c r="K350" s="93"/>
      <c r="L350" s="93"/>
      <c r="M350" s="93"/>
      <c r="N350" s="93"/>
      <c r="O350" s="93"/>
      <c r="P350" s="275"/>
      <c r="Q350" s="275"/>
      <c r="R350" s="275"/>
      <c r="S350" s="275"/>
      <c r="T350" s="275"/>
      <c r="U350" s="220"/>
    </row>
    <row r="351" spans="2:21" ht="15" hidden="1" customHeight="1" outlineLevel="1">
      <c r="B351" s="176"/>
      <c r="C351" s="104"/>
      <c r="D351" s="104"/>
      <c r="G351" s="93"/>
      <c r="I351" s="93"/>
      <c r="J351" s="93"/>
      <c r="K351" s="93"/>
      <c r="L351" s="93"/>
      <c r="M351" s="93"/>
      <c r="N351" s="93"/>
      <c r="O351" s="93"/>
      <c r="P351" s="275"/>
      <c r="Q351" s="276"/>
      <c r="R351" s="276"/>
      <c r="S351" s="276"/>
      <c r="T351" s="276"/>
      <c r="U351" s="220"/>
    </row>
    <row r="352" spans="2:21" ht="15" hidden="1" customHeight="1" outlineLevel="1">
      <c r="B352" s="176" t="s">
        <v>134</v>
      </c>
      <c r="D352" s="104"/>
      <c r="F352" s="93"/>
      <c r="G352" s="93"/>
      <c r="H352" s="200" t="s">
        <v>133</v>
      </c>
      <c r="I352" s="93"/>
      <c r="J352" s="93"/>
      <c r="K352" s="363">
        <f t="shared" ref="K352:T352" si="151">IF(K331&lt;=$H$354,1,0)</f>
        <v>1</v>
      </c>
      <c r="L352" s="364">
        <f t="shared" si="151"/>
        <v>1</v>
      </c>
      <c r="M352" s="364">
        <f t="shared" si="151"/>
        <v>1</v>
      </c>
      <c r="N352" s="364">
        <f t="shared" si="151"/>
        <v>1</v>
      </c>
      <c r="O352" s="364">
        <f t="shared" si="151"/>
        <v>1</v>
      </c>
      <c r="P352" s="364">
        <f t="shared" si="151"/>
        <v>1</v>
      </c>
      <c r="Q352" s="364">
        <f t="shared" si="151"/>
        <v>0</v>
      </c>
      <c r="R352" s="364">
        <f t="shared" si="151"/>
        <v>0</v>
      </c>
      <c r="S352" s="364">
        <f t="shared" si="151"/>
        <v>0</v>
      </c>
      <c r="T352" s="365">
        <f t="shared" si="151"/>
        <v>0</v>
      </c>
      <c r="U352" s="220"/>
    </row>
    <row r="353" spans="1:21" ht="15" hidden="1" customHeight="1" outlineLevel="1">
      <c r="B353" s="176"/>
      <c r="C353" s="104"/>
      <c r="D353" s="104"/>
      <c r="F353" s="95"/>
      <c r="G353" s="93"/>
      <c r="I353" s="93"/>
      <c r="J353" s="93"/>
      <c r="K353" s="93"/>
      <c r="L353" s="93"/>
      <c r="M353" s="93"/>
      <c r="N353" s="93"/>
      <c r="O353" s="93"/>
      <c r="U353" s="220"/>
    </row>
    <row r="354" spans="1:21" ht="15" hidden="1" customHeight="1" outlineLevel="1">
      <c r="B354" s="176"/>
      <c r="C354" s="200" t="s">
        <v>135</v>
      </c>
      <c r="D354" s="104"/>
      <c r="F354" s="95"/>
      <c r="G354" s="93"/>
      <c r="H354" s="328">
        <f>'Transaction Assumptions'!$D$54</f>
        <v>6</v>
      </c>
      <c r="I354" s="93"/>
      <c r="J354" s="93"/>
      <c r="K354" s="93"/>
      <c r="L354" s="93"/>
      <c r="M354" s="93"/>
      <c r="N354" s="93"/>
      <c r="O354" s="93"/>
      <c r="U354" s="220"/>
    </row>
    <row r="355" spans="1:21" ht="15" hidden="1" customHeight="1" outlineLevel="1">
      <c r="B355" s="176"/>
      <c r="C355" s="200" t="s">
        <v>130</v>
      </c>
      <c r="E355" s="111"/>
      <c r="G355" s="104"/>
      <c r="H355" s="373">
        <f>'Transaction Assumptions'!$D$57</f>
        <v>2</v>
      </c>
      <c r="I355" s="93"/>
      <c r="J355" s="93"/>
      <c r="K355" s="93"/>
      <c r="L355" s="93"/>
      <c r="M355" s="93"/>
      <c r="N355" s="93"/>
      <c r="O355" s="93"/>
      <c r="P355" s="93"/>
      <c r="Q355" s="95"/>
      <c r="R355" s="95"/>
      <c r="S355" s="95"/>
      <c r="T355" s="95"/>
      <c r="U355" s="220"/>
    </row>
    <row r="356" spans="1:21" ht="15" hidden="1" customHeight="1" outlineLevel="1">
      <c r="B356" s="176"/>
      <c r="C356" s="58" t="s">
        <v>190</v>
      </c>
      <c r="E356" s="111"/>
      <c r="F356" s="93"/>
      <c r="G356" s="93"/>
      <c r="H356" s="93"/>
      <c r="I356" s="93"/>
      <c r="J356" s="93"/>
      <c r="K356" s="93"/>
      <c r="L356" s="93"/>
      <c r="M356" s="93"/>
      <c r="N356" s="93"/>
      <c r="O356" s="93"/>
      <c r="P356" s="93"/>
      <c r="Q356" s="95"/>
      <c r="R356" s="95"/>
      <c r="S356" s="95"/>
      <c r="T356" s="95"/>
      <c r="U356" s="220"/>
    </row>
    <row r="357" spans="1:21" ht="15" hidden="1" customHeight="1" outlineLevel="1">
      <c r="B357" s="176"/>
      <c r="C357" s="200" t="s">
        <v>131</v>
      </c>
      <c r="E357" s="111"/>
      <c r="F357" s="93"/>
      <c r="G357" s="93"/>
      <c r="H357" s="93"/>
      <c r="I357" s="93"/>
      <c r="J357" s="93"/>
      <c r="K357" s="93"/>
      <c r="L357" s="93"/>
      <c r="M357" s="93"/>
      <c r="N357" s="93"/>
      <c r="O357" s="93"/>
      <c r="U357" s="220"/>
    </row>
    <row r="358" spans="1:21" ht="15" hidden="1" customHeight="1" outlineLevel="1">
      <c r="C358" s="13"/>
      <c r="E358" s="111"/>
      <c r="F358" s="93"/>
      <c r="G358" s="93"/>
      <c r="H358" s="93"/>
      <c r="I358" s="93"/>
      <c r="J358" s="104"/>
      <c r="K358" s="104"/>
      <c r="L358" s="104"/>
      <c r="M358" s="104"/>
      <c r="N358" s="104"/>
      <c r="O358" s="104"/>
      <c r="P358" s="270"/>
      <c r="Q358" s="270"/>
      <c r="R358" s="270"/>
      <c r="S358" s="270"/>
      <c r="T358" s="270"/>
    </row>
    <row r="359" spans="1:21" ht="15" hidden="1" customHeight="1" outlineLevel="1">
      <c r="B359" s="176"/>
      <c r="C359" s="58" t="s">
        <v>191</v>
      </c>
      <c r="E359" s="111"/>
      <c r="F359" s="272"/>
      <c r="G359" s="104"/>
      <c r="J359" s="104"/>
      <c r="K359" s="269"/>
      <c r="L359" s="268"/>
      <c r="M359" s="268"/>
      <c r="N359" s="268"/>
      <c r="O359" s="268"/>
      <c r="P359" s="268"/>
      <c r="Q359" s="268"/>
      <c r="R359" s="268"/>
      <c r="S359" s="268"/>
      <c r="T359" s="268"/>
    </row>
    <row r="360" spans="1:21" ht="15" hidden="1" customHeight="1" outlineLevel="1">
      <c r="C360" s="200" t="s">
        <v>132</v>
      </c>
      <c r="E360" s="111"/>
      <c r="F360" s="272"/>
      <c r="G360" s="104"/>
      <c r="J360" s="104"/>
      <c r="K360" s="367">
        <v>0</v>
      </c>
      <c r="L360" s="367">
        <v>0</v>
      </c>
      <c r="M360" s="367">
        <v>0</v>
      </c>
      <c r="N360" s="367">
        <v>0</v>
      </c>
      <c r="O360" s="367">
        <v>0</v>
      </c>
      <c r="P360" s="367">
        <f>H355</f>
        <v>2</v>
      </c>
      <c r="Q360" s="367">
        <f t="shared" ref="Q360:T360" si="152">P360+Q359</f>
        <v>2</v>
      </c>
      <c r="R360" s="367">
        <f t="shared" si="152"/>
        <v>2</v>
      </c>
      <c r="S360" s="367">
        <f t="shared" si="152"/>
        <v>2</v>
      </c>
      <c r="T360" s="367">
        <f t="shared" si="152"/>
        <v>2</v>
      </c>
    </row>
    <row r="361" spans="1:21" ht="15" hidden="1" customHeight="1" outlineLevel="1">
      <c r="C361" s="200" t="s">
        <v>124</v>
      </c>
      <c r="E361" s="111"/>
      <c r="F361" s="104"/>
      <c r="G361" s="104"/>
      <c r="J361" s="104"/>
      <c r="K361" s="268">
        <f t="shared" ref="K361:S361" si="153">IFERROR((K334-K335-K336)/(K338+K337),"n/a")</f>
        <v>2.633193897574301E-2</v>
      </c>
      <c r="L361" s="268">
        <f t="shared" si="153"/>
        <v>0.39987563846083357</v>
      </c>
      <c r="M361" s="268">
        <f t="shared" si="153"/>
        <v>0.74770364157366265</v>
      </c>
      <c r="N361" s="268">
        <f t="shared" si="153"/>
        <v>1.3463686175016683</v>
      </c>
      <c r="O361" s="268">
        <f t="shared" si="153"/>
        <v>2.1015585792824489</v>
      </c>
      <c r="P361" s="268">
        <f t="shared" si="153"/>
        <v>3.616876219727799</v>
      </c>
      <c r="Q361" s="268">
        <f t="shared" si="153"/>
        <v>4.719677706065645</v>
      </c>
      <c r="R361" s="268">
        <f t="shared" si="153"/>
        <v>6.0208491963564876</v>
      </c>
      <c r="S361" s="268">
        <f t="shared" si="153"/>
        <v>8.2589968082870229</v>
      </c>
      <c r="T361" s="268">
        <f>IFERROR((T334-T335-T336)/ABS((T338+T337)),"n/a")</f>
        <v>11.209440386804047</v>
      </c>
    </row>
    <row r="362" spans="1:21" ht="15" hidden="1" customHeight="1" outlineLevel="1">
      <c r="C362" s="200"/>
      <c r="E362" s="111"/>
      <c r="F362" s="104"/>
      <c r="G362" s="104"/>
      <c r="J362" s="104"/>
      <c r="K362" s="104"/>
      <c r="L362" s="104"/>
      <c r="M362" s="104"/>
      <c r="N362" s="104"/>
      <c r="O362" s="104"/>
      <c r="P362" s="268"/>
      <c r="Q362" s="268"/>
      <c r="R362" s="268"/>
      <c r="S362" s="268"/>
      <c r="T362" s="268"/>
    </row>
    <row r="363" spans="1:21" ht="15" hidden="1" customHeight="1" outlineLevel="1">
      <c r="E363" s="111"/>
      <c r="F363" s="104"/>
      <c r="G363" s="104"/>
      <c r="H363" s="104"/>
      <c r="J363" s="104"/>
      <c r="K363" s="104"/>
      <c r="L363" s="104"/>
      <c r="M363" s="104"/>
      <c r="N363" s="104"/>
      <c r="O363" s="104"/>
      <c r="P363" s="127"/>
      <c r="Q363" s="127"/>
      <c r="R363" s="127"/>
      <c r="S363" s="127"/>
      <c r="T363" s="311" t="s">
        <v>167</v>
      </c>
    </row>
    <row r="364" spans="1:21" ht="15" hidden="1" customHeight="1" outlineLevel="1">
      <c r="B364" s="216"/>
      <c r="C364" s="101"/>
      <c r="D364" s="101"/>
      <c r="E364" s="101"/>
      <c r="F364" s="101"/>
      <c r="G364" s="101"/>
      <c r="H364" s="101"/>
      <c r="I364" s="101"/>
      <c r="J364" s="101"/>
      <c r="K364" s="101"/>
      <c r="L364" s="101"/>
      <c r="M364" s="101"/>
      <c r="N364" s="101"/>
      <c r="O364" s="101"/>
      <c r="P364" s="101"/>
      <c r="Q364" s="101"/>
      <c r="R364" s="101"/>
      <c r="S364" s="101"/>
      <c r="T364" s="101"/>
      <c r="U364" s="58"/>
    </row>
    <row r="365" spans="1:21" ht="15" customHeight="1" collapsed="1">
      <c r="C365" s="67"/>
      <c r="D365" s="68"/>
      <c r="E365" s="68"/>
      <c r="F365" s="68"/>
      <c r="G365" s="68"/>
      <c r="H365" s="68"/>
      <c r="I365" s="68"/>
      <c r="J365" s="68"/>
      <c r="K365" s="68"/>
      <c r="L365" s="68"/>
      <c r="M365" s="68"/>
      <c r="N365" s="68"/>
      <c r="O365" s="68"/>
      <c r="P365" s="68"/>
      <c r="Q365" s="68"/>
      <c r="R365" s="68"/>
      <c r="S365" s="68"/>
      <c r="T365" s="68"/>
      <c r="U365" s="67"/>
    </row>
    <row r="366" spans="1:21" ht="15" customHeight="1">
      <c r="A366" s="215" t="s">
        <v>39</v>
      </c>
      <c r="B366" s="515" t="s">
        <v>185</v>
      </c>
      <c r="C366" s="520"/>
      <c r="D366" s="516"/>
      <c r="E366" s="517"/>
      <c r="F366" s="605"/>
      <c r="G366" s="605"/>
      <c r="H366" s="606"/>
      <c r="I366" s="606"/>
      <c r="J366" s="606"/>
      <c r="K366" s="606"/>
      <c r="L366" s="606"/>
      <c r="M366" s="606"/>
      <c r="N366" s="606"/>
      <c r="O366" s="606"/>
      <c r="P366" s="606"/>
      <c r="Q366" s="606"/>
      <c r="R366" s="606"/>
      <c r="S366" s="606"/>
      <c r="T366" s="606"/>
      <c r="U366" s="126"/>
    </row>
    <row r="367" spans="1:21" ht="15" hidden="1" customHeight="1" outlineLevel="1">
      <c r="C367" s="70"/>
      <c r="D367" s="71"/>
      <c r="E367" s="72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</row>
    <row r="368" spans="1:21" ht="15" hidden="1" customHeight="1" outlineLevel="1" thickBot="1">
      <c r="B368" s="10" t="s">
        <v>8</v>
      </c>
      <c r="C368" s="57"/>
      <c r="D368" s="71"/>
      <c r="E368" s="74"/>
      <c r="G368" s="74"/>
      <c r="H368" s="74"/>
      <c r="I368" s="74"/>
      <c r="J368" s="612">
        <f>$J$5</f>
        <v>2024</v>
      </c>
      <c r="K368" s="577">
        <f>$K$5</f>
        <v>2025</v>
      </c>
      <c r="L368" s="577">
        <f>$L$5</f>
        <v>2026</v>
      </c>
      <c r="M368" s="577">
        <f>$M$5</f>
        <v>2027</v>
      </c>
      <c r="N368" s="577">
        <f>$N$5</f>
        <v>2028</v>
      </c>
      <c r="O368" s="577">
        <f>$O$5</f>
        <v>2029</v>
      </c>
      <c r="P368" s="577">
        <f>$P$5</f>
        <v>2030</v>
      </c>
      <c r="Q368" s="609">
        <f>$Q$5</f>
        <v>2031</v>
      </c>
      <c r="R368" s="609">
        <f>$R$5</f>
        <v>2032</v>
      </c>
      <c r="S368" s="609">
        <f>$S$5</f>
        <v>2033</v>
      </c>
      <c r="T368" s="609">
        <f>$T$5</f>
        <v>2034</v>
      </c>
      <c r="U368" s="73"/>
    </row>
    <row r="369" spans="2:21" ht="15" hidden="1" customHeight="1" outlineLevel="1">
      <c r="B369" s="10" t="str">
        <f>$B$6</f>
        <v>Model Running: Base Case Drivers</v>
      </c>
      <c r="C369" s="68"/>
      <c r="D369" s="68"/>
      <c r="E369" s="107"/>
      <c r="G369" s="68"/>
      <c r="H369" s="68"/>
      <c r="I369" s="68"/>
      <c r="J369" s="114"/>
      <c r="K369" s="114"/>
      <c r="L369" s="114"/>
      <c r="M369" s="114"/>
      <c r="N369" s="114"/>
      <c r="O369" s="114"/>
      <c r="P369" s="114"/>
      <c r="Q369" s="114"/>
      <c r="R369" s="114"/>
      <c r="S369" s="114"/>
      <c r="T369" s="114"/>
      <c r="U369" s="114"/>
    </row>
    <row r="370" spans="2:21" ht="15" hidden="1" customHeight="1" outlineLevel="1">
      <c r="B370" s="10"/>
      <c r="C370" s="68"/>
      <c r="D370" s="68"/>
      <c r="E370" s="107"/>
      <c r="G370" s="68"/>
      <c r="H370" s="68"/>
      <c r="I370" s="68"/>
      <c r="J370" s="114"/>
      <c r="K370" s="114"/>
      <c r="L370" s="114"/>
      <c r="M370" s="114"/>
      <c r="N370" s="114"/>
      <c r="O370" s="114"/>
      <c r="P370" s="114"/>
      <c r="Q370" s="114"/>
      <c r="R370" s="114"/>
      <c r="S370" s="114"/>
      <c r="T370" s="114"/>
      <c r="U370" s="114"/>
    </row>
    <row r="371" spans="2:21" ht="15" hidden="1" customHeight="1" outlineLevel="1">
      <c r="C371" s="21"/>
      <c r="D371" s="180" t="s">
        <v>110</v>
      </c>
      <c r="E371" s="98"/>
      <c r="F371" s="180" t="s">
        <v>109</v>
      </c>
      <c r="G371" s="67"/>
      <c r="H371" s="67"/>
      <c r="I371" s="67"/>
      <c r="J371" s="91"/>
      <c r="K371" s="91"/>
      <c r="L371" s="91"/>
      <c r="M371" s="91"/>
      <c r="N371" s="91"/>
      <c r="O371" s="91"/>
      <c r="P371" s="91"/>
      <c r="Q371" s="91"/>
      <c r="R371" s="91"/>
      <c r="S371" s="91"/>
      <c r="T371" s="91"/>
      <c r="U371" s="91"/>
    </row>
    <row r="372" spans="2:21" ht="15" hidden="1" customHeight="1" outlineLevel="1">
      <c r="C372" s="21"/>
      <c r="D372" s="177" t="s">
        <v>107</v>
      </c>
      <c r="E372" s="98"/>
      <c r="F372" s="177" t="s">
        <v>107</v>
      </c>
      <c r="G372" s="67"/>
      <c r="H372" s="67"/>
      <c r="I372" s="67"/>
      <c r="J372" s="182" t="s">
        <v>402</v>
      </c>
      <c r="K372" s="181" t="s">
        <v>402</v>
      </c>
      <c r="L372" s="181" t="s">
        <v>402</v>
      </c>
      <c r="M372" s="181" t="s">
        <v>402</v>
      </c>
      <c r="N372" s="181" t="s">
        <v>402</v>
      </c>
      <c r="O372" s="181" t="s">
        <v>402</v>
      </c>
      <c r="P372" s="181" t="s">
        <v>402</v>
      </c>
      <c r="Q372" s="181" t="s">
        <v>402</v>
      </c>
      <c r="R372" s="181" t="s">
        <v>402</v>
      </c>
      <c r="S372" s="181" t="s">
        <v>402</v>
      </c>
      <c r="T372" s="183" t="s">
        <v>402</v>
      </c>
      <c r="U372" s="91"/>
    </row>
    <row r="373" spans="2:21" ht="15" hidden="1" customHeight="1" outlineLevel="1">
      <c r="B373" s="179"/>
      <c r="D373" s="466">
        <f>'Transaction Assumptions'!J23</f>
        <v>45322</v>
      </c>
      <c r="E373" s="467"/>
      <c r="F373" s="468">
        <f>'Transaction Assumptions'!J22</f>
        <v>45688</v>
      </c>
      <c r="G373" s="467"/>
      <c r="H373" s="469"/>
      <c r="I373" s="469"/>
      <c r="J373" s="470">
        <f>D373</f>
        <v>45322</v>
      </c>
      <c r="K373" s="471">
        <f>F373</f>
        <v>45688</v>
      </c>
      <c r="L373" s="471">
        <f>EDATE(K373,12)</f>
        <v>46053</v>
      </c>
      <c r="M373" s="471">
        <f t="shared" ref="M373:T373" si="154">EDATE(L373,12)</f>
        <v>46418</v>
      </c>
      <c r="N373" s="471">
        <f t="shared" si="154"/>
        <v>46783</v>
      </c>
      <c r="O373" s="471">
        <f t="shared" si="154"/>
        <v>47149</v>
      </c>
      <c r="P373" s="471">
        <f t="shared" si="154"/>
        <v>47514</v>
      </c>
      <c r="Q373" s="471">
        <f t="shared" si="154"/>
        <v>47879</v>
      </c>
      <c r="R373" s="471">
        <f t="shared" si="154"/>
        <v>48244</v>
      </c>
      <c r="S373" s="471">
        <f t="shared" si="154"/>
        <v>48610</v>
      </c>
      <c r="T373" s="481">
        <f t="shared" si="154"/>
        <v>48975</v>
      </c>
      <c r="U373" s="172"/>
    </row>
    <row r="374" spans="2:21" ht="15" hidden="1" customHeight="1" outlineLevel="1">
      <c r="B374" s="67"/>
      <c r="C374" s="67"/>
      <c r="D374" s="98"/>
      <c r="F374" s="67"/>
      <c r="H374" s="67"/>
      <c r="I374" s="67"/>
      <c r="J374" s="112"/>
      <c r="K374" s="112"/>
      <c r="L374" s="112"/>
      <c r="M374" s="112"/>
      <c r="N374" s="112"/>
      <c r="O374" s="112"/>
      <c r="P374" s="248"/>
      <c r="Q374" s="248"/>
      <c r="R374" s="248"/>
      <c r="S374" s="248"/>
      <c r="T374" s="248"/>
      <c r="U374" s="113"/>
    </row>
    <row r="375" spans="2:21" ht="15" hidden="1" customHeight="1" outlineLevel="1">
      <c r="B375" s="67"/>
      <c r="C375" s="67"/>
      <c r="D375" s="98"/>
      <c r="F375" s="67"/>
      <c r="H375" s="67"/>
      <c r="I375" s="67"/>
      <c r="J375" s="112"/>
      <c r="K375" s="112"/>
      <c r="L375" s="112"/>
      <c r="M375" s="112"/>
      <c r="N375" s="112"/>
      <c r="O375" s="112"/>
      <c r="P375" s="248"/>
      <c r="Q375" s="237"/>
      <c r="R375" s="237"/>
      <c r="S375" s="237"/>
      <c r="T375" s="237"/>
      <c r="U375" s="113"/>
    </row>
    <row r="376" spans="2:21" ht="15" hidden="1" customHeight="1" outlineLevel="1">
      <c r="B376" s="173" t="s">
        <v>121</v>
      </c>
      <c r="C376" s="173"/>
      <c r="D376" s="173"/>
      <c r="E376" s="173"/>
      <c r="F376" s="173"/>
      <c r="G376" s="68"/>
      <c r="H376" s="223"/>
      <c r="J376" s="173"/>
      <c r="K376" s="173"/>
      <c r="L376" s="173"/>
      <c r="M376" s="173"/>
      <c r="N376" s="173"/>
      <c r="O376" s="173"/>
      <c r="P376" s="173"/>
      <c r="Q376" s="173"/>
      <c r="R376" s="173"/>
      <c r="S376" s="220"/>
    </row>
    <row r="377" spans="2:21" ht="15" hidden="1" customHeight="1" outlineLevel="1">
      <c r="B377" s="173"/>
      <c r="C377" s="21" t="s">
        <v>12</v>
      </c>
      <c r="D377" s="173"/>
      <c r="E377" s="173"/>
      <c r="F377" s="173"/>
      <c r="G377" s="68"/>
      <c r="H377" s="223"/>
      <c r="J377" s="204">
        <f>J17</f>
        <v>-93270</v>
      </c>
      <c r="K377" s="204">
        <f t="shared" ref="K377:T377" si="155">K17</f>
        <v>31145.985000000077</v>
      </c>
      <c r="L377" s="204">
        <f t="shared" si="155"/>
        <v>129567.29760000014</v>
      </c>
      <c r="M377" s="204">
        <f t="shared" si="155"/>
        <v>231601.54445999995</v>
      </c>
      <c r="N377" s="204">
        <f t="shared" si="155"/>
        <v>407408.17139100027</v>
      </c>
      <c r="O377" s="204">
        <f t="shared" si="155"/>
        <v>630667.84931326832</v>
      </c>
      <c r="P377" s="204">
        <f t="shared" si="155"/>
        <v>981249.09932596632</v>
      </c>
      <c r="Q377" s="204">
        <f t="shared" si="155"/>
        <v>1312376.0681166924</v>
      </c>
      <c r="R377" s="204">
        <f t="shared" si="155"/>
        <v>1545979.0082414635</v>
      </c>
      <c r="S377" s="204">
        <f t="shared" si="155"/>
        <v>1821356.5190844748</v>
      </c>
      <c r="T377" s="204">
        <f t="shared" si="155"/>
        <v>1974350.4666875703</v>
      </c>
    </row>
    <row r="378" spans="2:21" ht="15" hidden="1" customHeight="1" outlineLevel="1">
      <c r="B378" s="173"/>
      <c r="C378" s="21" t="s">
        <v>83</v>
      </c>
      <c r="D378" s="173"/>
      <c r="E378" s="173"/>
      <c r="F378" s="173"/>
      <c r="G378" s="68"/>
      <c r="H378" s="223"/>
      <c r="J378" s="368">
        <f>Outputs!$W$70</f>
        <v>20</v>
      </c>
      <c r="K378" s="368">
        <f>Outputs!$W$70</f>
        <v>20</v>
      </c>
      <c r="L378" s="368">
        <f>Outputs!$W$70</f>
        <v>20</v>
      </c>
      <c r="M378" s="368">
        <f>Outputs!$W$70</f>
        <v>20</v>
      </c>
      <c r="N378" s="368">
        <f>Outputs!$W$70</f>
        <v>20</v>
      </c>
      <c r="O378" s="368">
        <f>Outputs!$W$70</f>
        <v>20</v>
      </c>
      <c r="P378" s="368">
        <f>Outputs!$W$70</f>
        <v>20</v>
      </c>
      <c r="Q378" s="368">
        <f>Outputs!$W$70</f>
        <v>20</v>
      </c>
      <c r="R378" s="368">
        <f>Outputs!$W$70</f>
        <v>20</v>
      </c>
      <c r="S378" s="368">
        <f>Outputs!$W$70</f>
        <v>20</v>
      </c>
      <c r="T378" s="368">
        <f>Outputs!$W$70</f>
        <v>20</v>
      </c>
    </row>
    <row r="379" spans="2:21" ht="15" hidden="1" customHeight="1" outlineLevel="1">
      <c r="B379" s="173"/>
      <c r="C379" s="21" t="s">
        <v>44</v>
      </c>
      <c r="D379" s="173"/>
      <c r="E379" s="173"/>
      <c r="F379" s="173"/>
      <c r="G379" s="68"/>
      <c r="H379" s="223"/>
      <c r="J379" s="369">
        <f>J377*J378</f>
        <v>-1865400</v>
      </c>
      <c r="K379" s="369">
        <f t="shared" ref="K379" si="156">K377*K378</f>
        <v>622919.70000000158</v>
      </c>
      <c r="L379" s="369">
        <f t="shared" ref="L379" si="157">L377*L378</f>
        <v>2591345.9520000028</v>
      </c>
      <c r="M379" s="369">
        <f t="shared" ref="M379" si="158">M377*M378</f>
        <v>4632030.8891999992</v>
      </c>
      <c r="N379" s="369">
        <f t="shared" ref="N379" si="159">N377*N378</f>
        <v>8148163.4278200055</v>
      </c>
      <c r="O379" s="369">
        <f t="shared" ref="O379" si="160">O377*O378</f>
        <v>12613356.986265367</v>
      </c>
      <c r="P379" s="369">
        <f t="shared" ref="P379" si="161">P377*P378</f>
        <v>19624981.986519326</v>
      </c>
      <c r="Q379" s="369">
        <f t="shared" ref="Q379" si="162">Q377*Q378</f>
        <v>26247521.362333849</v>
      </c>
      <c r="R379" s="369">
        <f t="shared" ref="R379" si="163">R377*R378</f>
        <v>30919580.164829269</v>
      </c>
      <c r="S379" s="369">
        <f t="shared" ref="S379" si="164">S377*S378</f>
        <v>36427130.381689496</v>
      </c>
      <c r="T379" s="369">
        <f t="shared" ref="T379" si="165">T377*T378</f>
        <v>39487009.33375141</v>
      </c>
    </row>
    <row r="380" spans="2:21" ht="15" hidden="1" customHeight="1" outlineLevel="1">
      <c r="B380" s="173"/>
      <c r="C380" s="21"/>
      <c r="D380" s="173"/>
      <c r="E380" s="173"/>
      <c r="F380" s="173"/>
      <c r="G380" s="68"/>
      <c r="H380" s="223"/>
      <c r="J380" s="173"/>
      <c r="K380" s="173"/>
      <c r="L380" s="173"/>
      <c r="M380" s="173"/>
      <c r="N380" s="173"/>
      <c r="O380" s="173"/>
      <c r="P380" s="173"/>
      <c r="Q380" s="173"/>
      <c r="R380" s="173"/>
      <c r="S380" s="220"/>
    </row>
    <row r="381" spans="2:21" ht="15" hidden="1" customHeight="1" outlineLevel="1">
      <c r="B381" s="104" t="s">
        <v>117</v>
      </c>
      <c r="C381" s="13"/>
      <c r="D381" s="107"/>
      <c r="E381" s="68"/>
      <c r="F381" s="68"/>
      <c r="G381" s="68"/>
      <c r="H381" s="75"/>
      <c r="I381" s="91"/>
      <c r="J381" s="91"/>
      <c r="K381" s="91"/>
      <c r="L381" s="91"/>
      <c r="M381" s="91"/>
      <c r="N381" s="91"/>
      <c r="O381" s="91"/>
      <c r="P381" s="91"/>
      <c r="Q381" s="91"/>
      <c r="R381" s="91"/>
      <c r="S381" s="91"/>
      <c r="T381" s="91"/>
    </row>
    <row r="382" spans="2:21" ht="15" hidden="1" customHeight="1" outlineLevel="1">
      <c r="B382" s="104"/>
      <c r="C382" s="13" t="s">
        <v>48</v>
      </c>
      <c r="D382" s="107"/>
      <c r="E382" s="68"/>
      <c r="F382" s="68"/>
      <c r="G382" s="68"/>
      <c r="H382" s="75"/>
      <c r="I382" s="91"/>
      <c r="J382" s="91">
        <f t="shared" ref="J382:T382" si="166">J289</f>
        <v>0</v>
      </c>
      <c r="K382" s="91">
        <f t="shared" si="166"/>
        <v>2002277.5252305549</v>
      </c>
      <c r="L382" s="91">
        <f t="shared" si="166"/>
        <v>2122168.8149103262</v>
      </c>
      <c r="M382" s="91">
        <f t="shared" si="166"/>
        <v>2198282.8596652956</v>
      </c>
      <c r="N382" s="91">
        <f t="shared" si="166"/>
        <v>2175071.0083165811</v>
      </c>
      <c r="O382" s="91">
        <f t="shared" si="166"/>
        <v>2135191.9622686044</v>
      </c>
      <c r="P382" s="91">
        <f t="shared" si="166"/>
        <v>2188571.7613253198</v>
      </c>
      <c r="Q382" s="91">
        <f t="shared" si="166"/>
        <v>2243286.0553584527</v>
      </c>
      <c r="R382" s="91">
        <f t="shared" si="166"/>
        <v>2299368.2067424143</v>
      </c>
      <c r="S382" s="91">
        <f t="shared" si="166"/>
        <v>2356852.4119109744</v>
      </c>
      <c r="T382" s="91">
        <f t="shared" si="166"/>
        <v>2415773.7222087486</v>
      </c>
    </row>
    <row r="383" spans="2:21" ht="15" hidden="1" customHeight="1" outlineLevel="1">
      <c r="B383" s="104"/>
      <c r="C383" s="13" t="s">
        <v>114</v>
      </c>
      <c r="D383" s="107"/>
      <c r="E383" s="68"/>
      <c r="F383" s="68"/>
      <c r="G383" s="68"/>
      <c r="H383" s="75"/>
      <c r="I383" s="91"/>
      <c r="J383" s="91">
        <f>-$H$36</f>
        <v>-628795</v>
      </c>
      <c r="K383" s="91">
        <f t="shared" ref="K383:T383" si="167">-K267</f>
        <v>-5000</v>
      </c>
      <c r="L383" s="91">
        <f t="shared" si="167"/>
        <v>-5000</v>
      </c>
      <c r="M383" s="91">
        <f t="shared" si="167"/>
        <v>-5000</v>
      </c>
      <c r="N383" s="91">
        <f t="shared" si="167"/>
        <v>-5000</v>
      </c>
      <c r="O383" s="91">
        <f t="shared" si="167"/>
        <v>-154820.03127128695</v>
      </c>
      <c r="P383" s="91">
        <f t="shared" si="167"/>
        <v>-587053.08461321285</v>
      </c>
      <c r="Q383" s="91">
        <f t="shared" si="167"/>
        <v>-1250119.6540829227</v>
      </c>
      <c r="R383" s="91">
        <f t="shared" si="167"/>
        <v>-2190769.8847802761</v>
      </c>
      <c r="S383" s="91">
        <f t="shared" si="167"/>
        <v>-3288309.4834122919</v>
      </c>
      <c r="T383" s="91">
        <f t="shared" si="167"/>
        <v>-4671535.4456374794</v>
      </c>
    </row>
    <row r="384" spans="2:21" ht="15" hidden="1" customHeight="1" outlineLevel="1">
      <c r="B384" s="104"/>
      <c r="C384" s="13" t="s">
        <v>118</v>
      </c>
      <c r="D384" s="107"/>
      <c r="E384" s="68"/>
      <c r="F384" s="68"/>
      <c r="G384" s="68"/>
      <c r="H384" s="75"/>
      <c r="I384" s="91"/>
      <c r="J384" s="339">
        <f>SUM(J382:J383)</f>
        <v>-628795</v>
      </c>
      <c r="K384" s="339">
        <f>SUM(K382:K383)</f>
        <v>1997277.5252305549</v>
      </c>
      <c r="L384" s="339">
        <f>SUM(L382:L383)</f>
        <v>2117168.8149103262</v>
      </c>
      <c r="M384" s="339">
        <f t="shared" ref="M384:S384" si="168">SUM(M382:M383)</f>
        <v>2193282.8596652956</v>
      </c>
      <c r="N384" s="339">
        <f t="shared" si="168"/>
        <v>2170071.0083165811</v>
      </c>
      <c r="O384" s="339">
        <f t="shared" si="168"/>
        <v>1980371.9309973174</v>
      </c>
      <c r="P384" s="339">
        <f t="shared" si="168"/>
        <v>1601518.6767121069</v>
      </c>
      <c r="Q384" s="339">
        <f t="shared" si="168"/>
        <v>993166.40127552999</v>
      </c>
      <c r="R384" s="339">
        <f t="shared" si="168"/>
        <v>108598.32196213817</v>
      </c>
      <c r="S384" s="339">
        <f t="shared" si="168"/>
        <v>-931457.07150131743</v>
      </c>
      <c r="T384" s="339">
        <f>SUM(T382:T383)</f>
        <v>-2255761.7234287309</v>
      </c>
    </row>
    <row r="385" spans="2:21" ht="15" hidden="1" customHeight="1" outlineLevel="1">
      <c r="B385" s="104"/>
      <c r="C385" s="13"/>
      <c r="D385" s="107"/>
      <c r="E385" s="68"/>
      <c r="F385" s="68"/>
      <c r="G385" s="68"/>
      <c r="H385" s="75"/>
      <c r="I385" s="91"/>
      <c r="J385" s="91"/>
      <c r="K385" s="91"/>
      <c r="L385" s="91"/>
      <c r="M385" s="91"/>
      <c r="N385" s="91"/>
      <c r="O385" s="91"/>
      <c r="P385" s="91"/>
      <c r="Q385" s="91"/>
      <c r="R385" s="91"/>
      <c r="S385" s="91"/>
      <c r="T385" s="91"/>
    </row>
    <row r="386" spans="2:21" ht="15" hidden="1" customHeight="1" outlineLevel="1">
      <c r="B386" s="173" t="s">
        <v>122</v>
      </c>
      <c r="C386" s="173"/>
      <c r="D386" s="173"/>
      <c r="E386" s="173"/>
      <c r="F386" s="173"/>
      <c r="G386" s="68"/>
      <c r="H386" s="223"/>
      <c r="J386" s="173"/>
      <c r="K386" s="173"/>
      <c r="L386" s="173"/>
      <c r="M386" s="173"/>
      <c r="N386" s="173"/>
      <c r="O386" s="173"/>
      <c r="P386" s="173"/>
      <c r="Q386" s="173"/>
      <c r="R386" s="173"/>
      <c r="S386" s="220"/>
    </row>
    <row r="387" spans="2:21" ht="15" hidden="1" customHeight="1" outlineLevel="1">
      <c r="B387" s="173"/>
      <c r="C387" s="21" t="s">
        <v>44</v>
      </c>
      <c r="D387" s="67"/>
      <c r="E387" s="67"/>
      <c r="G387" s="68"/>
      <c r="H387" s="223"/>
      <c r="J387" s="204">
        <f t="shared" ref="J387:T387" si="169">J379</f>
        <v>-1865400</v>
      </c>
      <c r="K387" s="204">
        <f t="shared" si="169"/>
        <v>622919.70000000158</v>
      </c>
      <c r="L387" s="204">
        <f t="shared" si="169"/>
        <v>2591345.9520000028</v>
      </c>
      <c r="M387" s="204">
        <f t="shared" si="169"/>
        <v>4632030.8891999992</v>
      </c>
      <c r="N387" s="204">
        <f t="shared" si="169"/>
        <v>8148163.4278200055</v>
      </c>
      <c r="O387" s="204">
        <f t="shared" si="169"/>
        <v>12613356.986265367</v>
      </c>
      <c r="P387" s="204">
        <f t="shared" si="169"/>
        <v>19624981.986519326</v>
      </c>
      <c r="Q387" s="204">
        <f t="shared" si="169"/>
        <v>26247521.362333849</v>
      </c>
      <c r="R387" s="204">
        <f t="shared" si="169"/>
        <v>30919580.164829269</v>
      </c>
      <c r="S387" s="204">
        <f t="shared" si="169"/>
        <v>36427130.381689496</v>
      </c>
      <c r="T387" s="204">
        <f t="shared" si="169"/>
        <v>39487009.33375141</v>
      </c>
    </row>
    <row r="388" spans="2:21" ht="15" hidden="1" customHeight="1" outlineLevel="1">
      <c r="C388" s="21" t="s">
        <v>113</v>
      </c>
      <c r="E388" s="67"/>
      <c r="G388" s="67"/>
      <c r="H388" s="67"/>
      <c r="J388" s="204">
        <f>-J384</f>
        <v>628795</v>
      </c>
      <c r="K388" s="204">
        <f>-K384</f>
        <v>-1997277.5252305549</v>
      </c>
      <c r="L388" s="204">
        <f t="shared" ref="L388:S388" si="170">-L384</f>
        <v>-2117168.8149103262</v>
      </c>
      <c r="M388" s="204">
        <f t="shared" si="170"/>
        <v>-2193282.8596652956</v>
      </c>
      <c r="N388" s="204">
        <f t="shared" si="170"/>
        <v>-2170071.0083165811</v>
      </c>
      <c r="O388" s="204">
        <f t="shared" si="170"/>
        <v>-1980371.9309973174</v>
      </c>
      <c r="P388" s="204">
        <f t="shared" si="170"/>
        <v>-1601518.6767121069</v>
      </c>
      <c r="Q388" s="204">
        <f t="shared" si="170"/>
        <v>-993166.40127552999</v>
      </c>
      <c r="R388" s="204">
        <f t="shared" si="170"/>
        <v>-108598.32196213817</v>
      </c>
      <c r="S388" s="204">
        <f t="shared" si="170"/>
        <v>931457.07150131743</v>
      </c>
      <c r="T388" s="204">
        <f>-T384</f>
        <v>2255761.7234287309</v>
      </c>
      <c r="U388" s="67"/>
    </row>
    <row r="389" spans="2:21" ht="15" hidden="1" customHeight="1" outlineLevel="1">
      <c r="C389" s="21" t="s">
        <v>82</v>
      </c>
      <c r="D389" s="67"/>
      <c r="E389" s="67"/>
      <c r="G389" s="68"/>
      <c r="H389" s="68"/>
      <c r="J389" s="369">
        <f>SUM(J387:J388)</f>
        <v>-1236605</v>
      </c>
      <c r="K389" s="369">
        <f t="shared" ref="K389:O389" si="171">SUM(K387:K388)</f>
        <v>-1374357.8252305533</v>
      </c>
      <c r="L389" s="369">
        <f t="shared" si="171"/>
        <v>474177.13708967669</v>
      </c>
      <c r="M389" s="369">
        <f>SUM(M387:M388)</f>
        <v>2438748.0295347036</v>
      </c>
      <c r="N389" s="369">
        <f t="shared" si="171"/>
        <v>5978092.4195034243</v>
      </c>
      <c r="O389" s="369">
        <f t="shared" si="171"/>
        <v>10632985.055268049</v>
      </c>
      <c r="P389" s="369">
        <f>SUM(P387:P388)</f>
        <v>18023463.309807219</v>
      </c>
      <c r="Q389" s="369">
        <f t="shared" ref="Q389:T389" si="172">SUM(Q387:Q388)</f>
        <v>25254354.961058319</v>
      </c>
      <c r="R389" s="369">
        <f t="shared" si="172"/>
        <v>30810981.842867132</v>
      </c>
      <c r="S389" s="369">
        <f t="shared" si="172"/>
        <v>37358587.453190811</v>
      </c>
      <c r="T389" s="369">
        <f t="shared" si="172"/>
        <v>41742771.057180144</v>
      </c>
      <c r="U389" s="68"/>
    </row>
    <row r="390" spans="2:21" ht="15" hidden="1" customHeight="1" outlineLevel="1">
      <c r="C390" s="21"/>
      <c r="D390" s="67"/>
      <c r="E390" s="67"/>
      <c r="F390" s="85"/>
      <c r="G390" s="68"/>
      <c r="H390" s="68"/>
      <c r="J390" s="21"/>
      <c r="K390" s="21"/>
      <c r="L390" s="21"/>
      <c r="M390" s="21"/>
      <c r="N390" s="21"/>
      <c r="O390" s="21"/>
      <c r="P390" s="67"/>
      <c r="Q390" s="86"/>
      <c r="R390" s="67"/>
      <c r="S390" s="67"/>
      <c r="T390" s="67"/>
      <c r="U390" s="68"/>
    </row>
    <row r="391" spans="2:21" ht="15" hidden="1" customHeight="1" outlineLevel="1">
      <c r="C391" s="21" t="s">
        <v>115</v>
      </c>
      <c r="D391" s="67"/>
      <c r="E391" s="67"/>
      <c r="F391" s="85"/>
      <c r="G391" s="68"/>
      <c r="H391" s="68"/>
      <c r="J391" s="123"/>
      <c r="K391" s="85">
        <f t="shared" ref="K391:T391" si="173">-K324</f>
        <v>0</v>
      </c>
      <c r="L391" s="85">
        <f t="shared" si="173"/>
        <v>0</v>
      </c>
      <c r="M391" s="85">
        <f t="shared" si="173"/>
        <v>0</v>
      </c>
      <c r="N391" s="85">
        <f t="shared" si="173"/>
        <v>0</v>
      </c>
      <c r="O391" s="85">
        <f t="shared" si="173"/>
        <v>0</v>
      </c>
      <c r="P391" s="85">
        <f t="shared" si="173"/>
        <v>0</v>
      </c>
      <c r="Q391" s="85">
        <f t="shared" si="173"/>
        <v>0</v>
      </c>
      <c r="R391" s="85">
        <f t="shared" si="173"/>
        <v>0</v>
      </c>
      <c r="S391" s="85">
        <f t="shared" si="173"/>
        <v>0</v>
      </c>
      <c r="T391" s="85">
        <f t="shared" si="173"/>
        <v>0</v>
      </c>
      <c r="U391" s="68"/>
    </row>
    <row r="392" spans="2:21" ht="15" hidden="1" customHeight="1" outlineLevel="1">
      <c r="C392" s="21"/>
      <c r="D392" s="68"/>
      <c r="E392" s="107"/>
      <c r="G392" s="68"/>
      <c r="H392" s="68"/>
      <c r="I392" s="68"/>
      <c r="J392" s="91"/>
      <c r="K392" s="91"/>
      <c r="L392" s="91"/>
      <c r="M392" s="91"/>
      <c r="N392" s="91"/>
      <c r="O392" s="91"/>
      <c r="P392" s="91"/>
      <c r="Q392" s="91"/>
      <c r="R392" s="91"/>
      <c r="S392" s="91"/>
      <c r="T392" s="91"/>
      <c r="U392" s="91"/>
    </row>
    <row r="393" spans="2:21" ht="15" hidden="1" customHeight="1" outlineLevel="1">
      <c r="C393" s="21"/>
      <c r="D393" s="68"/>
      <c r="E393" s="107"/>
      <c r="G393" s="68"/>
      <c r="H393" s="68"/>
      <c r="I393" s="68"/>
      <c r="J393" s="91"/>
      <c r="K393" s="91"/>
      <c r="L393" s="91"/>
      <c r="M393" s="91"/>
      <c r="N393" s="91"/>
      <c r="O393" s="91"/>
      <c r="P393" s="91"/>
      <c r="Q393" s="91"/>
      <c r="R393" s="91"/>
      <c r="S393" s="91"/>
      <c r="T393" s="91"/>
      <c r="U393" s="91"/>
    </row>
    <row r="394" spans="2:21" ht="15" hidden="1" customHeight="1" outlineLevel="1">
      <c r="C394" s="21"/>
      <c r="D394" s="67"/>
      <c r="E394" s="98"/>
      <c r="G394" s="67"/>
      <c r="H394" s="67"/>
      <c r="I394" s="67"/>
      <c r="J394" s="222"/>
      <c r="K394" s="222"/>
      <c r="L394" s="222"/>
      <c r="M394" s="222"/>
      <c r="N394" s="222"/>
      <c r="O394" s="317" t="s">
        <v>91</v>
      </c>
      <c r="Q394" s="128"/>
      <c r="R394" s="128"/>
      <c r="S394" s="128"/>
      <c r="T394" s="128"/>
      <c r="U394" s="197"/>
    </row>
    <row r="395" spans="2:21" ht="15" hidden="1" customHeight="1" outlineLevel="1" thickBot="1">
      <c r="C395" s="532" t="s">
        <v>111</v>
      </c>
      <c r="D395" s="532"/>
      <c r="E395" s="611" t="s">
        <v>55</v>
      </c>
      <c r="F395" s="611" t="s">
        <v>112</v>
      </c>
      <c r="G395" s="174"/>
      <c r="H395" s="175"/>
      <c r="I395" s="175"/>
      <c r="J395" s="610" t="s">
        <v>80</v>
      </c>
      <c r="K395" s="610">
        <v>1</v>
      </c>
      <c r="L395" s="610">
        <v>2</v>
      </c>
      <c r="M395" s="610">
        <v>3</v>
      </c>
      <c r="N395" s="610">
        <v>4</v>
      </c>
      <c r="O395" s="610">
        <v>5</v>
      </c>
      <c r="P395" s="610">
        <v>6</v>
      </c>
      <c r="Q395" s="610">
        <v>7</v>
      </c>
      <c r="R395" s="610">
        <v>8</v>
      </c>
      <c r="S395" s="610">
        <v>9</v>
      </c>
      <c r="T395" s="610">
        <v>10</v>
      </c>
      <c r="U395" s="173"/>
    </row>
    <row r="396" spans="2:21" ht="15" hidden="1" customHeight="1" outlineLevel="1">
      <c r="C396" s="173"/>
      <c r="D396" s="199">
        <v>10</v>
      </c>
      <c r="E396" s="371">
        <f>IFERROR(XIRR(J396:T396,Model!$J$373:$T$373),"NA")</f>
        <v>0.25485952496528608</v>
      </c>
      <c r="F396" s="370">
        <f>SUM(K396:T396)/-J396</f>
        <v>9.6997713835541486</v>
      </c>
      <c r="G396" s="174"/>
      <c r="H396" s="175"/>
      <c r="I396" s="175"/>
      <c r="J396" s="204">
        <f>-'Transaction Assumptions'!$J$11</f>
        <v>-4303479.8869542982</v>
      </c>
      <c r="K396" s="123">
        <f t="shared" ref="K396:T396" si="174">IF(K$395=$D396,K$391+K$389,K$391)</f>
        <v>0</v>
      </c>
      <c r="L396" s="123">
        <f t="shared" si="174"/>
        <v>0</v>
      </c>
      <c r="M396" s="123">
        <f t="shared" si="174"/>
        <v>0</v>
      </c>
      <c r="N396" s="123">
        <f t="shared" si="174"/>
        <v>0</v>
      </c>
      <c r="O396" s="123">
        <f t="shared" si="174"/>
        <v>0</v>
      </c>
      <c r="P396" s="123">
        <f t="shared" si="174"/>
        <v>0</v>
      </c>
      <c r="Q396" s="123">
        <f t="shared" si="174"/>
        <v>0</v>
      </c>
      <c r="R396" s="123">
        <f t="shared" si="174"/>
        <v>0</v>
      </c>
      <c r="S396" s="123">
        <f t="shared" si="174"/>
        <v>0</v>
      </c>
      <c r="T396" s="123">
        <f t="shared" si="174"/>
        <v>41742771.057180144</v>
      </c>
      <c r="U396" s="173"/>
    </row>
    <row r="397" spans="2:21" ht="15" hidden="1" customHeight="1" outlineLevel="1">
      <c r="C397" s="173"/>
      <c r="D397" s="199">
        <f>D396-1</f>
        <v>9</v>
      </c>
      <c r="E397" s="371">
        <f>IFERROR(XIRR(J397:T397,Model!$J$373:$T$373),"NA")</f>
        <v>0.27113149762153621</v>
      </c>
      <c r="F397" s="370">
        <f t="shared" ref="F397:F403" si="175">SUM(K397:T397)/-J397</f>
        <v>8.6810182537254992</v>
      </c>
      <c r="G397" s="174"/>
      <c r="H397" s="175"/>
      <c r="I397" s="175"/>
      <c r="J397" s="204">
        <f>-'Transaction Assumptions'!$J$11</f>
        <v>-4303479.8869542982</v>
      </c>
      <c r="K397" s="123">
        <f t="shared" ref="K397:S397" si="176">IF(K$395=$D397,K$391+K$389,K$391)</f>
        <v>0</v>
      </c>
      <c r="L397" s="123">
        <f t="shared" si="176"/>
        <v>0</v>
      </c>
      <c r="M397" s="123">
        <f t="shared" si="176"/>
        <v>0</v>
      </c>
      <c r="N397" s="123">
        <f t="shared" si="176"/>
        <v>0</v>
      </c>
      <c r="O397" s="123">
        <f t="shared" si="176"/>
        <v>0</v>
      </c>
      <c r="P397" s="123">
        <f t="shared" si="176"/>
        <v>0</v>
      </c>
      <c r="Q397" s="123">
        <f t="shared" si="176"/>
        <v>0</v>
      </c>
      <c r="R397" s="123">
        <f t="shared" si="176"/>
        <v>0</v>
      </c>
      <c r="S397" s="123">
        <f t="shared" si="176"/>
        <v>37358587.453190811</v>
      </c>
      <c r="T397" s="198"/>
      <c r="U397" s="173"/>
    </row>
    <row r="398" spans="2:21" ht="15" hidden="1" customHeight="1" outlineLevel="1">
      <c r="C398" s="173"/>
      <c r="D398" s="199">
        <f t="shared" ref="D398:D405" si="177">D397-1</f>
        <v>8</v>
      </c>
      <c r="E398" s="371">
        <f>IFERROR(XIRR(J398:T398,Model!$J$373:$T$373),"NA")</f>
        <v>0.27875568270683293</v>
      </c>
      <c r="F398" s="370">
        <f t="shared" si="175"/>
        <v>7.1595505619228046</v>
      </c>
      <c r="G398" s="174"/>
      <c r="H398" s="175"/>
      <c r="I398" s="175"/>
      <c r="J398" s="204">
        <f>-'Transaction Assumptions'!$J$11</f>
        <v>-4303479.8869542982</v>
      </c>
      <c r="K398" s="123">
        <f t="shared" ref="K398:R398" si="178">IF(K$395=$D398,K$391+K$389,K$391)</f>
        <v>0</v>
      </c>
      <c r="L398" s="123">
        <f t="shared" si="178"/>
        <v>0</v>
      </c>
      <c r="M398" s="123">
        <f t="shared" si="178"/>
        <v>0</v>
      </c>
      <c r="N398" s="123">
        <f t="shared" si="178"/>
        <v>0</v>
      </c>
      <c r="O398" s="123">
        <f t="shared" si="178"/>
        <v>0</v>
      </c>
      <c r="P398" s="123">
        <f t="shared" si="178"/>
        <v>0</v>
      </c>
      <c r="Q398" s="123">
        <f t="shared" si="178"/>
        <v>0</v>
      </c>
      <c r="R398" s="123">
        <f t="shared" si="178"/>
        <v>30810981.842867132</v>
      </c>
      <c r="S398" s="198"/>
      <c r="T398" s="198"/>
      <c r="U398" s="173"/>
    </row>
    <row r="399" spans="2:21" ht="15" hidden="1" customHeight="1" outlineLevel="1">
      <c r="C399" s="173"/>
      <c r="D399" s="199">
        <f t="shared" si="177"/>
        <v>7</v>
      </c>
      <c r="E399" s="371">
        <f>IFERROR(XIRR(J399:T399,Model!$J$373:$T$373),"NA")</f>
        <v>0.28736649155616767</v>
      </c>
      <c r="F399" s="370">
        <f t="shared" si="175"/>
        <v>5.8683566844625323</v>
      </c>
      <c r="G399" s="174"/>
      <c r="H399" s="175"/>
      <c r="I399" s="175"/>
      <c r="J399" s="204">
        <f>-'Transaction Assumptions'!$J$11</f>
        <v>-4303479.8869542982</v>
      </c>
      <c r="K399" s="123">
        <f t="shared" ref="K399:Q399" si="179">IF(K$395=$D399,K$391+K$389,K$391)</f>
        <v>0</v>
      </c>
      <c r="L399" s="123">
        <f t="shared" si="179"/>
        <v>0</v>
      </c>
      <c r="M399" s="123">
        <f t="shared" si="179"/>
        <v>0</v>
      </c>
      <c r="N399" s="123">
        <f t="shared" si="179"/>
        <v>0</v>
      </c>
      <c r="O399" s="123">
        <f t="shared" si="179"/>
        <v>0</v>
      </c>
      <c r="P399" s="123">
        <f t="shared" si="179"/>
        <v>0</v>
      </c>
      <c r="Q399" s="123">
        <f t="shared" si="179"/>
        <v>25254354.961058319</v>
      </c>
      <c r="R399" s="198"/>
      <c r="S399" s="198"/>
      <c r="T399" s="198"/>
      <c r="U399" s="173"/>
    </row>
    <row r="400" spans="2:21" ht="15" hidden="1" customHeight="1" outlineLevel="1">
      <c r="C400" s="173"/>
      <c r="D400" s="199">
        <f t="shared" si="177"/>
        <v>6</v>
      </c>
      <c r="E400" s="371">
        <f>IFERROR(XIRR(J400:T400,Model!$J$373:$T$373),"NA")</f>
        <v>0.26933178305625916</v>
      </c>
      <c r="F400" s="370">
        <f t="shared" si="175"/>
        <v>4.1881137552063628</v>
      </c>
      <c r="G400" s="174"/>
      <c r="H400" s="175"/>
      <c r="I400" s="175"/>
      <c r="J400" s="204">
        <f>-'Transaction Assumptions'!$J$11</f>
        <v>-4303479.8869542982</v>
      </c>
      <c r="K400" s="123">
        <f t="shared" ref="K400:P400" si="180">IF(K$395=$D400,K$391+K$389,K$391)</f>
        <v>0</v>
      </c>
      <c r="L400" s="123">
        <f t="shared" si="180"/>
        <v>0</v>
      </c>
      <c r="M400" s="123">
        <f t="shared" si="180"/>
        <v>0</v>
      </c>
      <c r="N400" s="123">
        <f t="shared" si="180"/>
        <v>0</v>
      </c>
      <c r="O400" s="123">
        <f t="shared" si="180"/>
        <v>0</v>
      </c>
      <c r="P400" s="123">
        <f t="shared" si="180"/>
        <v>18023463.309807219</v>
      </c>
      <c r="Q400" s="198"/>
      <c r="R400" s="198"/>
      <c r="S400" s="198"/>
      <c r="T400" s="198"/>
      <c r="U400" s="173"/>
    </row>
    <row r="401" spans="2:20" ht="15" hidden="1" customHeight="1" outlineLevel="1">
      <c r="D401" s="199">
        <f t="shared" si="177"/>
        <v>5</v>
      </c>
      <c r="E401" s="371">
        <f>IFERROR(XIRR(J401:T401,Model!$J$373:$T$373),"NA")</f>
        <v>0.19806692004203796</v>
      </c>
      <c r="F401" s="370">
        <f t="shared" si="175"/>
        <v>2.4707876729019249</v>
      </c>
      <c r="H401" s="236"/>
      <c r="J401" s="204">
        <f>-'Transaction Assumptions'!$J$11</f>
        <v>-4303479.8869542982</v>
      </c>
      <c r="K401" s="123">
        <f>IF(K$395=$D401,K$391+K$389,K$391)</f>
        <v>0</v>
      </c>
      <c r="L401" s="123">
        <f>IF(L$395=$D401,L$391+L$389,L$391)</f>
        <v>0</v>
      </c>
      <c r="M401" s="123">
        <f>IF(M$395=$D401,M$391+M$389,M$391)</f>
        <v>0</v>
      </c>
      <c r="N401" s="123">
        <f>IF(N$395=$D401,N$391+N$389,N$391)</f>
        <v>0</v>
      </c>
      <c r="O401" s="123">
        <f>IF(O$395=$D401,O$391+O$389,O$391)</f>
        <v>10632985.055268049</v>
      </c>
      <c r="P401" s="123"/>
      <c r="Q401" s="123"/>
      <c r="R401" s="123"/>
      <c r="S401" s="123"/>
      <c r="T401" s="123"/>
    </row>
    <row r="402" spans="2:20" ht="15" hidden="1" customHeight="1" outlineLevel="1">
      <c r="C402" s="21"/>
      <c r="D402" s="199">
        <f t="shared" si="177"/>
        <v>4</v>
      </c>
      <c r="E402" s="371">
        <f>IFERROR(XIRR(J402:T402,$J$373:$T$373),"NA")</f>
        <v>8.5578629374504098E-2</v>
      </c>
      <c r="F402" s="370">
        <f t="shared" si="175"/>
        <v>1.3891298615396341</v>
      </c>
      <c r="H402" s="236"/>
      <c r="J402" s="204">
        <f>-'Transaction Assumptions'!$J$11</f>
        <v>-4303479.8869542982</v>
      </c>
      <c r="K402" s="123">
        <f>IF(K$395=$D402,K$391+K$389,K$391)</f>
        <v>0</v>
      </c>
      <c r="L402" s="123">
        <f>IF(L$395=$D402,L$391+L$389,L$391)</f>
        <v>0</v>
      </c>
      <c r="M402" s="123">
        <f>IF(M$395=$D402,M$391+M$389,M$391)</f>
        <v>0</v>
      </c>
      <c r="N402" s="123">
        <f>IF(N$395=$D402,N$391+N$389,N$391)</f>
        <v>5978092.4195034243</v>
      </c>
      <c r="O402" s="123"/>
      <c r="P402" s="123"/>
      <c r="Q402" s="123"/>
      <c r="R402" s="123"/>
      <c r="S402" s="123"/>
      <c r="T402" s="123"/>
    </row>
    <row r="403" spans="2:20" ht="15" hidden="1" customHeight="1" outlineLevel="1">
      <c r="C403" s="21"/>
      <c r="D403" s="199">
        <f t="shared" si="177"/>
        <v>3</v>
      </c>
      <c r="E403" s="371">
        <f>IFERROR(XIRR(J403:T403,$J$373:$T$373),"NA")</f>
        <v>-0.17232964858412742</v>
      </c>
      <c r="F403" s="370">
        <f t="shared" si="175"/>
        <v>0.56669209421138456</v>
      </c>
      <c r="H403" s="236"/>
      <c r="J403" s="204">
        <f>-'Transaction Assumptions'!$J$11</f>
        <v>-4303479.8869542982</v>
      </c>
      <c r="K403" s="123">
        <f>IF(K$395=$D403,K$391+K$389,K$391)</f>
        <v>0</v>
      </c>
      <c r="L403" s="123">
        <f>IF(L$395=$D403,L$391+L$389,L$391)</f>
        <v>0</v>
      </c>
      <c r="M403" s="123">
        <f>IF(M$395=$D403,M$391+M$389,M$391)</f>
        <v>2438748.0295347036</v>
      </c>
      <c r="N403" s="123"/>
      <c r="O403" s="123"/>
      <c r="P403" s="123"/>
      <c r="Q403" s="123"/>
      <c r="R403" s="123"/>
      <c r="S403" s="372"/>
      <c r="T403" s="372"/>
    </row>
    <row r="404" spans="2:20" ht="15" hidden="1" customHeight="1" outlineLevel="1">
      <c r="C404" s="21"/>
      <c r="D404" s="199">
        <f t="shared" si="177"/>
        <v>2</v>
      </c>
      <c r="E404" s="371">
        <f>IFERROR(XIRR(J404:T404,$J$373:$T$373),"NA")</f>
        <v>-0.66755822040140644</v>
      </c>
      <c r="F404" s="370">
        <f>SUM(K404:T404)/-J404</f>
        <v>0.11018458306895122</v>
      </c>
      <c r="H404" s="236"/>
      <c r="J404" s="204">
        <f>-'Transaction Assumptions'!$J$11</f>
        <v>-4303479.8869542982</v>
      </c>
      <c r="K404" s="123">
        <f>IF(K$395=$D404,K$391+K$389,K$391)</f>
        <v>0</v>
      </c>
      <c r="L404" s="123">
        <f>IF(L$395=$D404,L$391+L$389,L$391)</f>
        <v>474177.13708967669</v>
      </c>
      <c r="M404" s="123"/>
      <c r="N404" s="123"/>
      <c r="O404" s="123"/>
      <c r="P404" s="123"/>
      <c r="Q404" s="123"/>
      <c r="R404" s="123"/>
      <c r="S404" s="372"/>
      <c r="T404" s="372"/>
    </row>
    <row r="405" spans="2:20" ht="15" hidden="1" customHeight="1" outlineLevel="1">
      <c r="C405" s="21"/>
      <c r="D405" s="199">
        <f t="shared" si="177"/>
        <v>1</v>
      </c>
      <c r="E405" s="371" t="str">
        <f>IFERROR(XIRR(J405:T405,$J$373:$T$373),"NA")</f>
        <v>NA</v>
      </c>
      <c r="F405" s="370">
        <f>SUM(K405:T405)/-J405</f>
        <v>-0.31935964878024037</v>
      </c>
      <c r="H405" s="236"/>
      <c r="J405" s="204">
        <f>-'Transaction Assumptions'!$J$11</f>
        <v>-4303479.8869542982</v>
      </c>
      <c r="K405" s="123">
        <f>IF(K$395=$D405,K$391+K$389,K$391)</f>
        <v>-1374357.8252305533</v>
      </c>
      <c r="L405" s="123"/>
      <c r="M405" s="123"/>
      <c r="N405" s="123"/>
      <c r="O405" s="123"/>
      <c r="Q405" s="123"/>
      <c r="R405" s="123"/>
      <c r="S405" s="372"/>
      <c r="T405" s="372"/>
    </row>
    <row r="406" spans="2:20" ht="15" hidden="1" customHeight="1" outlineLevel="1">
      <c r="C406" s="21"/>
      <c r="D406" s="199"/>
      <c r="E406" s="371"/>
      <c r="F406" s="370"/>
      <c r="H406" s="236"/>
      <c r="J406" s="123"/>
      <c r="K406" s="123"/>
      <c r="L406" s="123"/>
      <c r="M406" s="123"/>
      <c r="N406" s="123"/>
      <c r="O406" s="123"/>
      <c r="P406" s="123"/>
      <c r="Q406" s="123"/>
      <c r="R406" s="123"/>
      <c r="S406" s="372"/>
      <c r="T406" s="372"/>
    </row>
    <row r="407" spans="2:20" ht="15" hidden="1" customHeight="1" outlineLevel="1">
      <c r="B407" s="216"/>
      <c r="C407" s="216"/>
      <c r="D407" s="216"/>
      <c r="E407" s="216"/>
      <c r="F407" s="216"/>
      <c r="G407" s="216"/>
      <c r="H407" s="216"/>
      <c r="I407" s="216"/>
      <c r="J407" s="216"/>
      <c r="K407" s="216"/>
      <c r="L407" s="216"/>
      <c r="M407" s="216"/>
      <c r="N407" s="216"/>
      <c r="O407" s="216"/>
      <c r="P407" s="216"/>
      <c r="Q407" s="216"/>
      <c r="R407" s="216"/>
      <c r="S407" s="216"/>
      <c r="T407" s="216" t="s">
        <v>39</v>
      </c>
    </row>
    <row r="408" spans="2:20" ht="15" customHeight="1" collapsed="1"/>
  </sheetData>
  <conditionalFormatting sqref="F148">
    <cfRule type="expression" dxfId="5" priority="10">
      <formula>$F$148=1</formula>
    </cfRule>
  </conditionalFormatting>
  <conditionalFormatting sqref="F334:H339 G349 U374:U375 F381:H385">
    <cfRule type="containsText" dxfId="4" priority="12" operator="containsText" text="OK">
      <formula>NOT(ISERROR(SEARCH("OK",F334)))</formula>
    </cfRule>
    <cfRule type="containsText" dxfId="3" priority="13" operator="containsText" text="ERROR">
      <formula>NOT(ISERROR(SEARCH("ERROR",F334)))</formula>
    </cfRule>
  </conditionalFormatting>
  <conditionalFormatting sqref="K210:T210">
    <cfRule type="expression" dxfId="2" priority="5">
      <formula>K$210=1</formula>
    </cfRule>
  </conditionalFormatting>
  <conditionalFormatting sqref="O349:T349">
    <cfRule type="expression" dxfId="1" priority="1">
      <formula>O$349&gt;O$348</formula>
    </cfRule>
  </conditionalFormatting>
  <conditionalFormatting sqref="O361:T361">
    <cfRule type="expression" dxfId="0" priority="3">
      <formula>O$361&lt;O$360</formula>
    </cfRule>
  </conditionalFormatting>
  <printOptions horizontalCentered="1"/>
  <pageMargins left="0.118110236220472" right="0.118110236220472" top="0.118110236220472" bottom="0.118110236220472" header="0.118110236220472" footer="0.118110236220472"/>
  <pageSetup scale="85" fitToWidth="0" fitToHeight="0" orientation="landscape" r:id="rId1"/>
  <rowBreaks count="10" manualBreakCount="10">
    <brk id="86" max="15" man="1"/>
    <brk id="112" max="15" man="1"/>
    <brk id="124" max="15" man="1"/>
    <brk id="138" max="15" man="1"/>
    <brk id="170" max="15" man="1"/>
    <brk id="214" max="15" man="1"/>
    <brk id="272" max="15" man="1"/>
    <brk id="307" max="15" man="1"/>
    <brk id="327" max="15" man="1"/>
    <brk id="365" max="15" man="1"/>
  </rowBreaks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76D73-2592-AE4A-9AF6-2E04783771E9}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2C3AB-5C08-374E-9C25-01BCAD2B3AD5}">
  <dimension ref="A1:F48"/>
  <sheetViews>
    <sheetView zoomScaleNormal="100" workbookViewId="0">
      <selection activeCell="G15" sqref="G15"/>
    </sheetView>
  </sheetViews>
  <sheetFormatPr baseColWidth="10" defaultRowHeight="15"/>
  <cols>
    <col min="1" max="1" width="31.5" style="386" bestFit="1" customWidth="1"/>
    <col min="2" max="5" width="10.83203125" style="386"/>
  </cols>
  <sheetData>
    <row r="1" spans="1:6">
      <c r="A1" s="387" t="s">
        <v>226</v>
      </c>
      <c r="B1" s="699" t="s">
        <v>227</v>
      </c>
      <c r="C1" s="699"/>
      <c r="D1" s="699"/>
    </row>
    <row r="2" spans="1:6">
      <c r="A2" s="387"/>
      <c r="B2" s="388">
        <v>2022</v>
      </c>
      <c r="C2" s="388">
        <v>2023</v>
      </c>
      <c r="D2" s="388">
        <v>2024</v>
      </c>
    </row>
    <row r="3" spans="1:6">
      <c r="A3" s="387" t="s">
        <v>0</v>
      </c>
      <c r="B3" s="387"/>
      <c r="C3" s="387"/>
      <c r="D3" s="387"/>
    </row>
    <row r="4" spans="1:6">
      <c r="A4" s="387" t="s">
        <v>228</v>
      </c>
      <c r="B4" s="391">
        <v>507375</v>
      </c>
      <c r="C4" s="391">
        <v>713735</v>
      </c>
      <c r="D4" s="391">
        <v>904031</v>
      </c>
      <c r="F4" s="391"/>
    </row>
    <row r="5" spans="1:6">
      <c r="A5" s="387" t="s">
        <v>229</v>
      </c>
      <c r="B5" s="391">
        <v>43457</v>
      </c>
      <c r="C5" s="391">
        <v>53180</v>
      </c>
      <c r="D5" s="391">
        <v>54307</v>
      </c>
    </row>
    <row r="6" spans="1:6" s="389" customFormat="1">
      <c r="A6" s="388" t="s">
        <v>230</v>
      </c>
      <c r="B6" s="404">
        <v>550832</v>
      </c>
      <c r="C6" s="404">
        <v>766915</v>
      </c>
      <c r="D6" s="404">
        <v>958338</v>
      </c>
      <c r="E6" s="635"/>
    </row>
    <row r="7" spans="1:6">
      <c r="A7" s="387" t="s">
        <v>231</v>
      </c>
      <c r="B7" s="391"/>
      <c r="C7" s="391"/>
      <c r="D7" s="391"/>
    </row>
    <row r="8" spans="1:6">
      <c r="A8" s="387" t="s">
        <v>228</v>
      </c>
      <c r="B8" s="391">
        <v>77460</v>
      </c>
      <c r="C8" s="391">
        <v>114384</v>
      </c>
      <c r="D8" s="391">
        <v>134658</v>
      </c>
    </row>
    <row r="9" spans="1:6">
      <c r="A9" s="387" t="s">
        <v>229</v>
      </c>
      <c r="B9" s="391">
        <v>39013</v>
      </c>
      <c r="C9" s="391">
        <v>50901</v>
      </c>
      <c r="D9" s="391">
        <v>51790</v>
      </c>
    </row>
    <row r="10" spans="1:6">
      <c r="A10" s="387" t="s">
        <v>232</v>
      </c>
      <c r="B10" s="391">
        <v>116473</v>
      </c>
      <c r="C10" s="391">
        <v>165285</v>
      </c>
      <c r="D10" s="391">
        <v>186448</v>
      </c>
    </row>
    <row r="11" spans="1:6" s="389" customFormat="1">
      <c r="A11" s="388" t="s">
        <v>233</v>
      </c>
      <c r="B11" s="404">
        <v>434359</v>
      </c>
      <c r="C11" s="404">
        <v>601630</v>
      </c>
      <c r="D11" s="404">
        <v>771890</v>
      </c>
      <c r="E11" s="635"/>
    </row>
    <row r="12" spans="1:6">
      <c r="A12" s="387" t="s">
        <v>234</v>
      </c>
      <c r="B12" s="391"/>
      <c r="C12" s="391"/>
      <c r="D12" s="391"/>
    </row>
    <row r="13" spans="1:6">
      <c r="A13" s="387" t="s">
        <v>235</v>
      </c>
      <c r="B13" s="391">
        <v>165440</v>
      </c>
      <c r="C13" s="391">
        <v>215205</v>
      </c>
      <c r="D13" s="391">
        <v>234071</v>
      </c>
    </row>
    <row r="14" spans="1:6">
      <c r="A14" s="387" t="s">
        <v>236</v>
      </c>
      <c r="B14" s="391">
        <v>329751</v>
      </c>
      <c r="C14" s="391">
        <v>479250</v>
      </c>
      <c r="D14" s="391">
        <v>510576</v>
      </c>
    </row>
    <row r="15" spans="1:6">
      <c r="A15" s="387" t="s">
        <v>237</v>
      </c>
      <c r="B15" s="391">
        <v>109204</v>
      </c>
      <c r="C15" s="391">
        <v>128811</v>
      </c>
      <c r="D15" s="391">
        <v>147525</v>
      </c>
    </row>
    <row r="16" spans="1:6">
      <c r="A16" s="387" t="s">
        <v>238</v>
      </c>
      <c r="B16" s="391">
        <v>604395</v>
      </c>
      <c r="C16" s="391">
        <v>823266</v>
      </c>
      <c r="D16" s="391">
        <v>892172</v>
      </c>
    </row>
    <row r="17" spans="1:5" s="389" customFormat="1">
      <c r="A17" s="388" t="s">
        <v>239</v>
      </c>
      <c r="B17" s="404">
        <v>-170036</v>
      </c>
      <c r="C17" s="404">
        <v>-221636</v>
      </c>
      <c r="D17" s="404">
        <v>-120282</v>
      </c>
      <c r="E17" s="635"/>
    </row>
    <row r="18" spans="1:5">
      <c r="A18" s="387" t="s">
        <v>240</v>
      </c>
      <c r="B18" s="391">
        <v>48</v>
      </c>
      <c r="C18" s="391">
        <v>7742</v>
      </c>
      <c r="D18" s="391">
        <v>25641</v>
      </c>
    </row>
    <row r="19" spans="1:5">
      <c r="A19" s="387" t="s">
        <v>241</v>
      </c>
      <c r="B19" s="391">
        <v>-813</v>
      </c>
      <c r="C19" s="391">
        <v>1104</v>
      </c>
      <c r="D19" s="391">
        <v>-1501</v>
      </c>
    </row>
    <row r="20" spans="1:5">
      <c r="A20" s="387" t="s">
        <v>242</v>
      </c>
      <c r="B20" s="391">
        <v>-170801</v>
      </c>
      <c r="C20" s="391">
        <v>-212790</v>
      </c>
      <c r="D20" s="391">
        <v>-96142</v>
      </c>
    </row>
    <row r="21" spans="1:5">
      <c r="A21" s="387" t="s">
        <v>243</v>
      </c>
      <c r="B21" s="391">
        <v>296</v>
      </c>
      <c r="C21" s="391">
        <v>2849</v>
      </c>
      <c r="D21" s="391">
        <v>8489</v>
      </c>
    </row>
    <row r="22" spans="1:5" s="389" customFormat="1">
      <c r="A22" s="388" t="s">
        <v>244</v>
      </c>
      <c r="B22" s="404">
        <v>-171097</v>
      </c>
      <c r="C22" s="404">
        <v>-215639</v>
      </c>
      <c r="D22" s="404">
        <v>-104631</v>
      </c>
      <c r="E22" s="635"/>
    </row>
    <row r="25" spans="1:5">
      <c r="A25" s="387" t="s">
        <v>344</v>
      </c>
      <c r="B25" s="391">
        <f>B14+B15-B27</f>
        <v>417190</v>
      </c>
      <c r="C25" s="391">
        <f t="shared" ref="C25:D25" si="0">C14+C15-C27</f>
        <v>583205</v>
      </c>
      <c r="D25" s="391">
        <f t="shared" si="0"/>
        <v>631089</v>
      </c>
    </row>
    <row r="26" spans="1:5">
      <c r="A26" s="387" t="s">
        <v>28</v>
      </c>
      <c r="B26" s="391">
        <f>(CFS!B28+CFS!B31)*-1</f>
        <v>17269</v>
      </c>
      <c r="C26" s="391">
        <f>(CFS!C28+CFS!C31)*-1</f>
        <v>13797</v>
      </c>
      <c r="D26" s="391">
        <f>(CFS!D28+CFS!D31)*-1</f>
        <v>13338</v>
      </c>
    </row>
    <row r="27" spans="1:5">
      <c r="A27" s="387" t="s">
        <v>322</v>
      </c>
      <c r="B27" s="391">
        <f>CFS!B6</f>
        <v>21765</v>
      </c>
      <c r="C27" s="391">
        <f>CFS!C6</f>
        <v>24856</v>
      </c>
      <c r="D27" s="391">
        <f>CFS!D6</f>
        <v>27012</v>
      </c>
    </row>
    <row r="28" spans="1:5">
      <c r="A28" s="387" t="s">
        <v>355</v>
      </c>
      <c r="D28" s="636">
        <f>D13+D14+D15-D27</f>
        <v>865160</v>
      </c>
      <c r="E28" s="637">
        <f>D28/D6</f>
        <v>0.9027712560704052</v>
      </c>
    </row>
    <row r="29" spans="1:5">
      <c r="A29" s="387"/>
    </row>
    <row r="30" spans="1:5">
      <c r="A30" s="387"/>
      <c r="B30" s="392" t="s">
        <v>321</v>
      </c>
      <c r="C30" s="392" t="s">
        <v>321</v>
      </c>
      <c r="D30" s="392" t="s">
        <v>321</v>
      </c>
    </row>
    <row r="31" spans="1:5" ht="16" thickBot="1">
      <c r="A31" s="633" t="s">
        <v>320</v>
      </c>
      <c r="B31" s="634">
        <v>2022</v>
      </c>
      <c r="C31" s="634">
        <v>2023</v>
      </c>
      <c r="D31" s="634">
        <v>2024</v>
      </c>
      <c r="E31" s="633" t="s">
        <v>423</v>
      </c>
    </row>
    <row r="32" spans="1:5">
      <c r="A32" s="630" t="s">
        <v>315</v>
      </c>
      <c r="B32" s="631">
        <f>B6/1000</f>
        <v>550.83199999999999</v>
      </c>
      <c r="C32" s="631">
        <f>C6/1000</f>
        <v>766.91499999999996</v>
      </c>
      <c r="D32" s="631">
        <f>D6/1000</f>
        <v>958.33799999999997</v>
      </c>
      <c r="E32" s="632">
        <f>(D32/B32)^(1/2) - 1</f>
        <v>0.31901511857440656</v>
      </c>
    </row>
    <row r="33" spans="1:5">
      <c r="A33" s="387" t="s">
        <v>319</v>
      </c>
      <c r="B33" s="430">
        <f>B10/B6</f>
        <v>0.21144922589827753</v>
      </c>
      <c r="C33" s="430">
        <f>C10/C6</f>
        <v>0.21551932091561646</v>
      </c>
      <c r="D33" s="430">
        <f>D10/D6</f>
        <v>0.19455348739171358</v>
      </c>
      <c r="E33" s="428">
        <f>AVERAGE(B33:D33)</f>
        <v>0.2071740114018692</v>
      </c>
    </row>
    <row r="34" spans="1:5">
      <c r="A34" s="387" t="s">
        <v>317</v>
      </c>
      <c r="B34" s="430">
        <f>1-B33</f>
        <v>0.78855077410172247</v>
      </c>
      <c r="C34" s="430">
        <f t="shared" ref="C34:D34" si="1">1-C33</f>
        <v>0.78448067908438357</v>
      </c>
      <c r="D34" s="430">
        <f t="shared" si="1"/>
        <v>0.80544651260828637</v>
      </c>
      <c r="E34" s="428">
        <f>AVERAGE(B34:D34)</f>
        <v>0.79282598859813069</v>
      </c>
    </row>
    <row r="35" spans="1:5">
      <c r="A35" s="387" t="s">
        <v>325</v>
      </c>
      <c r="B35" s="430">
        <f>B13/B6</f>
        <v>0.30034565893049059</v>
      </c>
      <c r="C35" s="430">
        <f>C13/C6</f>
        <v>0.28061128025922039</v>
      </c>
      <c r="D35" s="430">
        <f>D13/D6</f>
        <v>0.24424681062422651</v>
      </c>
      <c r="E35" s="428">
        <f t="shared" ref="E35:E38" si="2">AVERAGE(B35:D35)</f>
        <v>0.2750679166046458</v>
      </c>
    </row>
    <row r="36" spans="1:5">
      <c r="A36" s="387" t="s">
        <v>318</v>
      </c>
      <c r="B36" s="429">
        <f>(B14+B15)/B6</f>
        <v>0.79689451593226246</v>
      </c>
      <c r="C36" s="429">
        <f>(C14+C15)/C6</f>
        <v>0.7928662237666495</v>
      </c>
      <c r="D36" s="429">
        <f>(D14+D15)/D6</f>
        <v>0.68671074297377332</v>
      </c>
      <c r="E36" s="428">
        <f t="shared" si="2"/>
        <v>0.75882382755756173</v>
      </c>
    </row>
    <row r="37" spans="1:5">
      <c r="A37" s="387" t="s">
        <v>324</v>
      </c>
      <c r="B37" s="429">
        <f>B26/B6</f>
        <v>3.1350756673541119E-2</v>
      </c>
      <c r="C37" s="429">
        <f>C26/C6</f>
        <v>1.7990259676756878E-2</v>
      </c>
      <c r="D37" s="429">
        <f>D26/D6</f>
        <v>1.3917845269623036E-2</v>
      </c>
      <c r="E37" s="428">
        <f>AVERAGE(B37:D37)</f>
        <v>2.1086287206640342E-2</v>
      </c>
    </row>
    <row r="38" spans="1:5">
      <c r="A38" s="387" t="s">
        <v>323</v>
      </c>
      <c r="B38" s="429">
        <f>B27/B6</f>
        <v>3.9512954948151158E-2</v>
      </c>
      <c r="C38" s="429">
        <f>C27/C6</f>
        <v>3.2410371423169451E-2</v>
      </c>
      <c r="D38" s="429">
        <f>D27/D6</f>
        <v>2.8186297527594648E-2</v>
      </c>
      <c r="E38" s="428">
        <f t="shared" si="2"/>
        <v>3.3369874632971752E-2</v>
      </c>
    </row>
    <row r="39" spans="1:5">
      <c r="A39" s="387" t="s">
        <v>361</v>
      </c>
      <c r="B39" s="431">
        <f>Model!H97</f>
        <v>100.14917433990763</v>
      </c>
      <c r="C39" s="431">
        <f>Model!I97</f>
        <v>94.540718332540109</v>
      </c>
      <c r="D39" s="431">
        <f>Model!J97</f>
        <v>90.916169451696589</v>
      </c>
      <c r="E39" s="431">
        <f t="shared" ref="E39:E40" si="3">AVERAGE(B39:D39)</f>
        <v>95.20202070804811</v>
      </c>
    </row>
    <row r="40" spans="1:5">
      <c r="A40" s="387" t="s">
        <v>362</v>
      </c>
      <c r="B40" s="431">
        <f>Model!H98</f>
        <v>4.719462879809055</v>
      </c>
      <c r="C40" s="431">
        <f>Model!I98</f>
        <v>4.6926520857912095</v>
      </c>
      <c r="D40" s="431">
        <f>Model!J98</f>
        <v>5.749619196773363</v>
      </c>
      <c r="E40" s="431">
        <f t="shared" si="3"/>
        <v>5.0539113874578758</v>
      </c>
    </row>
    <row r="41" spans="1:5">
      <c r="A41" s="387"/>
      <c r="B41" s="387"/>
      <c r="C41" s="387"/>
      <c r="D41" s="387"/>
    </row>
    <row r="42" spans="1:5">
      <c r="A42" s="387"/>
      <c r="B42" s="387"/>
      <c r="C42" s="387"/>
      <c r="D42" s="387"/>
    </row>
    <row r="43" spans="1:5">
      <c r="A43" s="387"/>
      <c r="B43" s="387"/>
      <c r="C43" s="387"/>
      <c r="D43" s="387"/>
    </row>
    <row r="44" spans="1:5">
      <c r="A44" s="387"/>
      <c r="B44" s="387"/>
      <c r="C44" s="387"/>
      <c r="D44" s="387"/>
    </row>
    <row r="45" spans="1:5">
      <c r="A45" s="387"/>
    </row>
    <row r="46" spans="1:5">
      <c r="A46" s="387"/>
    </row>
    <row r="47" spans="1:5">
      <c r="A47" s="387"/>
    </row>
    <row r="48" spans="1:5">
      <c r="A48" s="387"/>
    </row>
  </sheetData>
  <mergeCells count="1">
    <mergeCell ref="B1:D1"/>
  </mergeCells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1C200-9F60-7A47-9E4E-1CD620DC8993}">
  <dimension ref="A1:E35"/>
  <sheetViews>
    <sheetView zoomScaleNormal="100" workbookViewId="0">
      <selection activeCell="G18" sqref="G18"/>
    </sheetView>
  </sheetViews>
  <sheetFormatPr baseColWidth="10" defaultRowHeight="15"/>
  <cols>
    <col min="1" max="1" width="40.83203125" bestFit="1" customWidth="1"/>
  </cols>
  <sheetData>
    <row r="1" spans="1:5">
      <c r="A1" s="387" t="s">
        <v>245</v>
      </c>
      <c r="B1" s="699" t="s">
        <v>246</v>
      </c>
      <c r="C1" s="699"/>
    </row>
    <row r="2" spans="1:5">
      <c r="A2" s="387"/>
      <c r="B2" s="388">
        <v>2023</v>
      </c>
      <c r="C2" s="388">
        <v>2024</v>
      </c>
    </row>
    <row r="3" spans="1:5" s="389" customFormat="1">
      <c r="A3" s="388" t="s">
        <v>247</v>
      </c>
      <c r="B3" s="388"/>
      <c r="C3" s="388"/>
    </row>
    <row r="4" spans="1:5">
      <c r="A4" s="387" t="s">
        <v>248</v>
      </c>
      <c r="B4" s="387">
        <v>223156</v>
      </c>
      <c r="C4" s="387">
        <v>282094</v>
      </c>
      <c r="D4" s="419"/>
      <c r="E4" s="419"/>
    </row>
    <row r="5" spans="1:5">
      <c r="A5" s="387" t="s">
        <v>249</v>
      </c>
      <c r="B5" s="387">
        <v>233225</v>
      </c>
      <c r="C5" s="387">
        <v>346701</v>
      </c>
    </row>
    <row r="6" spans="1:5">
      <c r="A6" s="387" t="s">
        <v>250</v>
      </c>
      <c r="B6" s="387">
        <v>198643</v>
      </c>
      <c r="C6" s="387">
        <v>238708</v>
      </c>
    </row>
    <row r="7" spans="1:5">
      <c r="A7" s="387" t="s">
        <v>251</v>
      </c>
      <c r="B7" s="387">
        <v>55063</v>
      </c>
      <c r="C7" s="387">
        <v>64366</v>
      </c>
    </row>
    <row r="8" spans="1:5">
      <c r="A8" s="387" t="s">
        <v>252</v>
      </c>
      <c r="B8" s="387">
        <v>710087</v>
      </c>
      <c r="C8" s="387">
        <v>931869</v>
      </c>
    </row>
    <row r="9" spans="1:5">
      <c r="A9" s="387" t="s">
        <v>253</v>
      </c>
      <c r="B9" s="387">
        <v>197</v>
      </c>
      <c r="C9" s="387">
        <v>19</v>
      </c>
    </row>
    <row r="10" spans="1:5">
      <c r="A10" s="387" t="s">
        <v>254</v>
      </c>
      <c r="B10" s="387">
        <v>121785</v>
      </c>
      <c r="C10" s="387">
        <v>148867</v>
      </c>
    </row>
    <row r="11" spans="1:5">
      <c r="A11" s="387" t="s">
        <v>255</v>
      </c>
      <c r="B11" s="387">
        <v>39395</v>
      </c>
      <c r="C11" s="387">
        <v>42362</v>
      </c>
    </row>
    <row r="12" spans="1:5">
      <c r="A12" s="387" t="s">
        <v>256</v>
      </c>
      <c r="B12" s="387">
        <v>54278</v>
      </c>
      <c r="C12" s="387">
        <v>39480</v>
      </c>
    </row>
    <row r="13" spans="1:5">
      <c r="A13" s="387" t="s">
        <v>257</v>
      </c>
      <c r="B13" s="387">
        <v>39069</v>
      </c>
      <c r="C13" s="387">
        <v>27960</v>
      </c>
    </row>
    <row r="14" spans="1:5">
      <c r="A14" s="387" t="s">
        <v>258</v>
      </c>
      <c r="B14" s="387">
        <v>142415</v>
      </c>
      <c r="C14" s="387">
        <v>141477</v>
      </c>
    </row>
    <row r="15" spans="1:5">
      <c r="A15" s="387" t="s">
        <v>259</v>
      </c>
      <c r="B15" s="387">
        <v>2983</v>
      </c>
      <c r="C15" s="387">
        <v>5445</v>
      </c>
    </row>
    <row r="16" spans="1:5">
      <c r="A16" s="387" t="s">
        <v>260</v>
      </c>
      <c r="B16" s="387">
        <v>1110209</v>
      </c>
      <c r="C16" s="387">
        <v>1337479</v>
      </c>
    </row>
    <row r="17" spans="1:4" s="390" customFormat="1">
      <c r="A17" s="387" t="s">
        <v>261</v>
      </c>
      <c r="B17" s="387"/>
      <c r="C17" s="387"/>
      <c r="D17"/>
    </row>
    <row r="18" spans="1:4">
      <c r="A18" s="387" t="s">
        <v>262</v>
      </c>
      <c r="B18" s="387">
        <v>2125</v>
      </c>
      <c r="C18" s="387">
        <v>2937</v>
      </c>
    </row>
    <row r="19" spans="1:4">
      <c r="A19" s="387" t="s">
        <v>263</v>
      </c>
      <c r="B19" s="387">
        <v>68347</v>
      </c>
      <c r="C19" s="387">
        <v>77453</v>
      </c>
    </row>
    <row r="20" spans="1:4">
      <c r="A20" s="387" t="s">
        <v>264</v>
      </c>
      <c r="B20" s="387">
        <v>27437</v>
      </c>
      <c r="C20" s="387">
        <v>30534</v>
      </c>
    </row>
    <row r="21" spans="1:4">
      <c r="A21" s="387" t="s">
        <v>265</v>
      </c>
      <c r="B21" s="387">
        <v>19220</v>
      </c>
      <c r="C21" s="387">
        <v>16040</v>
      </c>
    </row>
    <row r="22" spans="1:4">
      <c r="A22" s="387" t="s">
        <v>266</v>
      </c>
      <c r="B22" s="387">
        <v>0</v>
      </c>
      <c r="C22" s="387">
        <v>216</v>
      </c>
    </row>
    <row r="23" spans="1:4">
      <c r="A23" s="387" t="s">
        <v>267</v>
      </c>
      <c r="B23" s="387">
        <v>457534</v>
      </c>
      <c r="C23" s="387">
        <v>568670</v>
      </c>
    </row>
    <row r="24" spans="1:4">
      <c r="A24" s="387" t="s">
        <v>268</v>
      </c>
      <c r="B24" s="387">
        <v>574663</v>
      </c>
      <c r="C24" s="387">
        <v>695850</v>
      </c>
    </row>
    <row r="25" spans="1:4">
      <c r="A25" s="387" t="s">
        <v>269</v>
      </c>
      <c r="B25" s="387">
        <v>47564</v>
      </c>
      <c r="C25" s="387">
        <v>33100</v>
      </c>
    </row>
    <row r="26" spans="1:4">
      <c r="A26" s="387" t="s">
        <v>270</v>
      </c>
      <c r="B26" s="387">
        <v>0</v>
      </c>
      <c r="C26" s="387">
        <v>455</v>
      </c>
    </row>
    <row r="27" spans="1:4">
      <c r="A27" s="387" t="s">
        <v>271</v>
      </c>
      <c r="B27" s="387">
        <v>2195</v>
      </c>
      <c r="C27" s="387">
        <v>1785</v>
      </c>
    </row>
    <row r="28" spans="1:4">
      <c r="A28" s="387" t="s">
        <v>272</v>
      </c>
      <c r="B28" s="387">
        <v>129</v>
      </c>
      <c r="C28" s="387">
        <v>434</v>
      </c>
    </row>
    <row r="29" spans="1:4">
      <c r="A29" s="387" t="s">
        <v>273</v>
      </c>
      <c r="B29" s="387">
        <v>624551</v>
      </c>
      <c r="C29" s="387">
        <v>731624</v>
      </c>
    </row>
    <row r="30" spans="1:4" s="389" customFormat="1">
      <c r="A30" s="388" t="s">
        <v>274</v>
      </c>
      <c r="B30" s="388"/>
      <c r="C30" s="388"/>
    </row>
    <row r="31" spans="1:4">
      <c r="A31" s="387" t="s">
        <v>275</v>
      </c>
      <c r="B31" s="387">
        <v>1243730</v>
      </c>
      <c r="C31" s="387">
        <v>1468805</v>
      </c>
    </row>
    <row r="32" spans="1:4">
      <c r="A32" s="387" t="s">
        <v>276</v>
      </c>
      <c r="B32" s="387">
        <v>101</v>
      </c>
      <c r="C32" s="387">
        <v>-146</v>
      </c>
    </row>
    <row r="33" spans="1:3">
      <c r="A33" s="387" t="s">
        <v>277</v>
      </c>
      <c r="B33" s="387">
        <v>-758173</v>
      </c>
      <c r="C33" s="387">
        <v>-862804</v>
      </c>
    </row>
    <row r="34" spans="1:3">
      <c r="A34" s="387" t="s">
        <v>278</v>
      </c>
      <c r="B34" s="387">
        <v>485658</v>
      </c>
      <c r="C34" s="387">
        <v>605855</v>
      </c>
    </row>
    <row r="35" spans="1:3">
      <c r="A35" s="387" t="s">
        <v>279</v>
      </c>
      <c r="B35" s="387">
        <v>1110209</v>
      </c>
      <c r="C35" s="387">
        <v>1337479</v>
      </c>
    </row>
  </sheetData>
  <mergeCells count="1">
    <mergeCell ref="B1:C1"/>
  </mergeCells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F350C-E62A-0A4B-BADE-C521D9502B6B}">
  <dimension ref="A1:D44"/>
  <sheetViews>
    <sheetView zoomScaleNormal="100" workbookViewId="0">
      <selection activeCell="C18" sqref="C18"/>
    </sheetView>
  </sheetViews>
  <sheetFormatPr baseColWidth="10" defaultRowHeight="15"/>
  <cols>
    <col min="1" max="1" width="58.6640625" bestFit="1" customWidth="1"/>
  </cols>
  <sheetData>
    <row r="1" spans="1:4">
      <c r="A1" s="387" t="s">
        <v>280</v>
      </c>
      <c r="B1" s="699" t="s">
        <v>227</v>
      </c>
      <c r="C1" s="699"/>
      <c r="D1" s="699"/>
    </row>
    <row r="2" spans="1:4">
      <c r="A2" s="387"/>
      <c r="B2" s="388">
        <v>2022</v>
      </c>
      <c r="C2" s="388">
        <v>2023</v>
      </c>
      <c r="D2" s="388">
        <v>2024</v>
      </c>
    </row>
    <row r="3" spans="1:4" s="389" customFormat="1">
      <c r="A3" s="388" t="s">
        <v>281</v>
      </c>
      <c r="B3" s="388"/>
      <c r="C3" s="388"/>
      <c r="D3" s="388"/>
    </row>
    <row r="4" spans="1:4">
      <c r="A4" s="387" t="s">
        <v>244</v>
      </c>
      <c r="B4" s="387">
        <v>-171097</v>
      </c>
      <c r="C4" s="387">
        <v>-215639</v>
      </c>
      <c r="D4" s="387">
        <v>-104631</v>
      </c>
    </row>
    <row r="5" spans="1:4">
      <c r="A5" s="387" t="s">
        <v>282</v>
      </c>
      <c r="B5" s="387">
        <v>114900</v>
      </c>
      <c r="C5" s="387">
        <v>176555</v>
      </c>
      <c r="D5" s="387">
        <v>206206</v>
      </c>
    </row>
    <row r="6" spans="1:4">
      <c r="A6" s="387" t="s">
        <v>283</v>
      </c>
      <c r="B6" s="387">
        <v>21765</v>
      </c>
      <c r="C6" s="387">
        <v>24856</v>
      </c>
      <c r="D6" s="387">
        <v>27012</v>
      </c>
    </row>
    <row r="7" spans="1:4">
      <c r="A7" s="387" t="s">
        <v>284</v>
      </c>
      <c r="B7" s="387">
        <v>0</v>
      </c>
      <c r="C7" s="387">
        <v>-2768</v>
      </c>
      <c r="D7" s="387">
        <v>-12546</v>
      </c>
    </row>
    <row r="8" spans="1:4">
      <c r="A8" s="387" t="s">
        <v>285</v>
      </c>
      <c r="B8" s="387">
        <v>43680</v>
      </c>
      <c r="C8" s="387">
        <v>47093</v>
      </c>
      <c r="D8" s="387">
        <v>53587</v>
      </c>
    </row>
    <row r="9" spans="1:4">
      <c r="A9" s="387" t="s">
        <v>286</v>
      </c>
      <c r="B9" s="387">
        <v>1048</v>
      </c>
      <c r="C9" s="387">
        <v>-1198</v>
      </c>
      <c r="D9" s="387">
        <v>670</v>
      </c>
    </row>
    <row r="10" spans="1:4">
      <c r="A10" s="387" t="s">
        <v>287</v>
      </c>
      <c r="B10" s="387">
        <v>14905</v>
      </c>
      <c r="C10" s="387">
        <v>18914</v>
      </c>
      <c r="D10" s="387">
        <v>12012</v>
      </c>
    </row>
    <row r="11" spans="1:4">
      <c r="A11" s="387" t="s">
        <v>288</v>
      </c>
      <c r="B11" s="387">
        <v>0</v>
      </c>
      <c r="C11" s="387">
        <v>1544</v>
      </c>
      <c r="D11" s="387">
        <v>1448</v>
      </c>
    </row>
    <row r="12" spans="1:4">
      <c r="A12" s="387" t="s">
        <v>289</v>
      </c>
      <c r="B12" s="387">
        <v>0</v>
      </c>
      <c r="C12" s="387">
        <v>-429</v>
      </c>
      <c r="D12" s="387">
        <v>4042</v>
      </c>
    </row>
    <row r="13" spans="1:4">
      <c r="A13" s="387" t="s">
        <v>290</v>
      </c>
      <c r="B13" s="387">
        <v>-48575</v>
      </c>
      <c r="C13" s="387">
        <v>-47597</v>
      </c>
      <c r="D13" s="387">
        <v>-43910</v>
      </c>
    </row>
    <row r="14" spans="1:4">
      <c r="A14" s="387" t="s">
        <v>251</v>
      </c>
      <c r="B14" s="387">
        <v>-19884</v>
      </c>
      <c r="C14" s="387">
        <v>-21437</v>
      </c>
      <c r="D14" s="387">
        <v>-9548</v>
      </c>
    </row>
    <row r="15" spans="1:4">
      <c r="A15" s="387" t="s">
        <v>259</v>
      </c>
      <c r="B15" s="387">
        <v>467</v>
      </c>
      <c r="C15" s="387">
        <v>-590</v>
      </c>
      <c r="D15" s="387">
        <v>-3049</v>
      </c>
    </row>
    <row r="16" spans="1:4">
      <c r="A16" s="387" t="s">
        <v>262</v>
      </c>
      <c r="B16" s="387">
        <v>-1331</v>
      </c>
      <c r="C16" s="387">
        <v>154</v>
      </c>
      <c r="D16" s="387">
        <v>828</v>
      </c>
    </row>
    <row r="17" spans="1:4">
      <c r="A17" s="387" t="s">
        <v>264</v>
      </c>
      <c r="B17" s="387">
        <v>1950</v>
      </c>
      <c r="C17" s="387">
        <v>8432</v>
      </c>
      <c r="D17" s="387">
        <v>3481</v>
      </c>
    </row>
    <row r="18" spans="1:4">
      <c r="A18" s="387" t="s">
        <v>263</v>
      </c>
      <c r="B18" s="387">
        <v>19906</v>
      </c>
      <c r="C18" s="387">
        <v>3739</v>
      </c>
      <c r="D18" s="387">
        <v>7894</v>
      </c>
    </row>
    <row r="19" spans="1:4">
      <c r="A19" s="387" t="s">
        <v>254</v>
      </c>
      <c r="B19" s="387">
        <v>-74463</v>
      </c>
      <c r="C19" s="387">
        <v>-77566</v>
      </c>
      <c r="D19" s="387">
        <v>-80668</v>
      </c>
    </row>
    <row r="20" spans="1:4">
      <c r="A20" s="387" t="s">
        <v>291</v>
      </c>
      <c r="B20" s="387">
        <v>110664</v>
      </c>
      <c r="C20" s="387">
        <v>123853</v>
      </c>
      <c r="D20" s="387">
        <v>110781</v>
      </c>
    </row>
    <row r="21" spans="1:4">
      <c r="A21" s="387" t="s">
        <v>272</v>
      </c>
      <c r="B21" s="387">
        <v>-3904</v>
      </c>
      <c r="C21" s="387">
        <v>89</v>
      </c>
      <c r="D21" s="387">
        <v>308</v>
      </c>
    </row>
    <row r="22" spans="1:4">
      <c r="A22" s="387" t="s">
        <v>292</v>
      </c>
      <c r="B22" s="387">
        <v>-13543</v>
      </c>
      <c r="C22" s="387">
        <v>-14417</v>
      </c>
      <c r="D22" s="387">
        <v>-16039</v>
      </c>
    </row>
    <row r="23" spans="1:4">
      <c r="A23" s="387" t="s">
        <v>293</v>
      </c>
      <c r="B23" s="387">
        <v>-3512</v>
      </c>
      <c r="C23" s="387">
        <v>23588</v>
      </c>
      <c r="D23" s="387">
        <v>157878</v>
      </c>
    </row>
    <row r="24" spans="1:4" s="389" customFormat="1">
      <c r="A24" s="388" t="s">
        <v>294</v>
      </c>
      <c r="B24" s="388"/>
      <c r="C24" s="388"/>
      <c r="D24" s="388"/>
    </row>
    <row r="25" spans="1:4">
      <c r="A25" s="387" t="s">
        <v>295</v>
      </c>
      <c r="B25" s="387">
        <v>0</v>
      </c>
      <c r="C25" s="387">
        <v>-456649</v>
      </c>
      <c r="D25" s="387">
        <v>-513490</v>
      </c>
    </row>
    <row r="26" spans="1:4">
      <c r="A26" s="387" t="s">
        <v>296</v>
      </c>
      <c r="B26" s="387">
        <v>0</v>
      </c>
      <c r="C26" s="387">
        <v>226048</v>
      </c>
      <c r="D26" s="387">
        <v>413100</v>
      </c>
    </row>
    <row r="27" spans="1:4">
      <c r="A27" s="387" t="s">
        <v>297</v>
      </c>
      <c r="B27" s="387">
        <v>-1000</v>
      </c>
      <c r="C27" s="387">
        <v>0</v>
      </c>
      <c r="D27" s="387">
        <v>0</v>
      </c>
    </row>
    <row r="28" spans="1:4">
      <c r="A28" s="387" t="s">
        <v>298</v>
      </c>
      <c r="B28" s="387">
        <v>-10563</v>
      </c>
      <c r="C28" s="387">
        <v>-6137</v>
      </c>
      <c r="D28" s="387">
        <v>-2563</v>
      </c>
    </row>
    <row r="29" spans="1:4">
      <c r="A29" s="387" t="s">
        <v>299</v>
      </c>
      <c r="B29" s="387">
        <v>0</v>
      </c>
      <c r="C29" s="387">
        <v>217</v>
      </c>
      <c r="D29" s="387">
        <v>42</v>
      </c>
    </row>
    <row r="30" spans="1:4">
      <c r="A30" s="387" t="s">
        <v>300</v>
      </c>
      <c r="B30" s="387">
        <v>0</v>
      </c>
      <c r="C30" s="387">
        <v>622</v>
      </c>
      <c r="D30" s="387">
        <v>0</v>
      </c>
    </row>
    <row r="31" spans="1:4">
      <c r="A31" s="387" t="s">
        <v>301</v>
      </c>
      <c r="B31" s="387">
        <v>-6706</v>
      </c>
      <c r="C31" s="387">
        <v>-7660</v>
      </c>
      <c r="D31" s="387">
        <v>-10775</v>
      </c>
    </row>
    <row r="32" spans="1:4">
      <c r="A32" s="387" t="s">
        <v>302</v>
      </c>
      <c r="B32" s="387">
        <v>-31</v>
      </c>
      <c r="C32" s="387">
        <v>0</v>
      </c>
      <c r="D32" s="387">
        <v>0</v>
      </c>
    </row>
    <row r="33" spans="1:4">
      <c r="A33" s="387" t="s">
        <v>303</v>
      </c>
      <c r="B33" s="387">
        <v>0</v>
      </c>
      <c r="C33" s="387">
        <v>-20342</v>
      </c>
      <c r="D33" s="387">
        <v>0</v>
      </c>
    </row>
    <row r="34" spans="1:4">
      <c r="A34" s="387" t="s">
        <v>304</v>
      </c>
      <c r="B34" s="387">
        <v>-18299</v>
      </c>
      <c r="C34" s="387">
        <v>-263901</v>
      </c>
      <c r="D34" s="387">
        <v>-113686</v>
      </c>
    </row>
    <row r="35" spans="1:4" s="389" customFormat="1">
      <c r="A35" s="388" t="s">
        <v>305</v>
      </c>
      <c r="B35" s="388"/>
      <c r="C35" s="388"/>
      <c r="D35" s="388"/>
    </row>
    <row r="36" spans="1:4">
      <c r="A36" s="387" t="s">
        <v>306</v>
      </c>
      <c r="B36" s="387">
        <v>19132</v>
      </c>
      <c r="C36" s="387">
        <v>5633</v>
      </c>
      <c r="D36" s="387">
        <v>1653</v>
      </c>
    </row>
    <row r="37" spans="1:4">
      <c r="A37" s="387" t="s">
        <v>307</v>
      </c>
      <c r="B37" s="387">
        <v>-6171</v>
      </c>
      <c r="C37" s="387">
        <v>-4177</v>
      </c>
      <c r="D37" s="387">
        <v>-7100</v>
      </c>
    </row>
    <row r="38" spans="1:4">
      <c r="A38" s="387" t="s">
        <v>308</v>
      </c>
      <c r="B38" s="387">
        <v>17380</v>
      </c>
      <c r="C38" s="387">
        <v>12600</v>
      </c>
      <c r="D38" s="387">
        <v>20006</v>
      </c>
    </row>
    <row r="39" spans="1:4">
      <c r="A39" s="387" t="s">
        <v>309</v>
      </c>
      <c r="B39" s="387">
        <v>0</v>
      </c>
      <c r="C39" s="387">
        <v>0</v>
      </c>
      <c r="D39" s="387">
        <v>-34</v>
      </c>
    </row>
    <row r="40" spans="1:4">
      <c r="A40" s="387" t="s">
        <v>310</v>
      </c>
      <c r="B40" s="387">
        <v>30341</v>
      </c>
      <c r="C40" s="387">
        <v>14056</v>
      </c>
      <c r="D40" s="387">
        <v>14525</v>
      </c>
    </row>
    <row r="41" spans="1:4">
      <c r="A41" s="387" t="s">
        <v>311</v>
      </c>
      <c r="B41" s="387">
        <v>-1197</v>
      </c>
      <c r="C41" s="387">
        <v>334</v>
      </c>
      <c r="D41" s="387">
        <v>-32</v>
      </c>
    </row>
    <row r="42" spans="1:4">
      <c r="A42" s="387" t="s">
        <v>312</v>
      </c>
      <c r="B42" s="387">
        <v>7332</v>
      </c>
      <c r="C42" s="387">
        <v>-225923</v>
      </c>
      <c r="D42" s="387">
        <v>58685</v>
      </c>
    </row>
    <row r="43" spans="1:4">
      <c r="A43" s="387" t="s">
        <v>313</v>
      </c>
      <c r="B43" s="387">
        <v>442348</v>
      </c>
      <c r="C43" s="387">
        <v>449680</v>
      </c>
      <c r="D43" s="387">
        <v>223757</v>
      </c>
    </row>
    <row r="44" spans="1:4">
      <c r="A44" s="387" t="s">
        <v>314</v>
      </c>
      <c r="B44" s="387">
        <v>449680</v>
      </c>
      <c r="C44" s="387">
        <v>223757</v>
      </c>
      <c r="D44" s="387">
        <v>282442</v>
      </c>
    </row>
  </sheetData>
  <mergeCells count="1">
    <mergeCell ref="B1:D1"/>
  </mergeCells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acheModel xmlns:xsd="http://www.w3.org/2001/XMLSchema" xmlns:xsi="http://www.w3.org/2001/XMLSchema-instance" xmlns="TagniFiModelState">
  <SerializedJson>[]</SerializedJson>
</CacheModel>
</file>

<file path=customXml/item2.xml>��
</file>

<file path=customXml/itemProps1.xml><?xml version="1.0" encoding="utf-8"?>
<ds:datastoreItem xmlns:ds="http://schemas.openxmlformats.org/officeDocument/2006/customXml" ds:itemID="{C6113C79-0CF4-461A-9222-7B228DF5F868}">
  <ds:schemaRefs>
    <ds:schemaRef ds:uri="http://www.w3.org/2001/XMLSchema"/>
    <ds:schemaRef ds:uri="TagniFiModelState"/>
  </ds:schemaRefs>
</ds:datastoreItem>
</file>

<file path=customXml/itemProps2.xml><?xml version="1.0" encoding="utf-8"?>
<ds:datastoreItem xmlns:ds="http://schemas.openxmlformats.org/officeDocument/2006/customXml" ds:itemID="{479D0547-8D2B-B246-9522-CF8C0D2A25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PresentationFormat/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</vt:i4>
      </vt:variant>
    </vt:vector>
  </HeadingPairs>
  <TitlesOfParts>
    <vt:vector size="13" baseType="lpstr">
      <vt:lpstr>Cover</vt:lpstr>
      <vt:lpstr>Outputs</vt:lpstr>
      <vt:lpstr>Transaction Assumptions</vt:lpstr>
      <vt:lpstr>Forecasting Assumptions</vt:lpstr>
      <vt:lpstr>Model</vt:lpstr>
      <vt:lpstr>-----&gt;</vt:lpstr>
      <vt:lpstr>IS</vt:lpstr>
      <vt:lpstr>BS</vt:lpstr>
      <vt:lpstr>CFS</vt:lpstr>
      <vt:lpstr>Cover!Print_Area</vt:lpstr>
      <vt:lpstr>'Forecasting Assumptions'!Print_Area</vt:lpstr>
      <vt:lpstr>Outputs!Print_Area</vt:lpstr>
      <vt:lpstr>'Transaction Assumptions'!Print_Area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Corporate Finance Institute</dc:creator>
  <cp:keywords/>
  <dc:description/>
  <cp:lastModifiedBy>Stanislav Schlegel</cp:lastModifiedBy>
  <cp:revision/>
  <cp:lastPrinted>2022-06-03T01:03:08Z</cp:lastPrinted>
  <dcterms:created xsi:type="dcterms:W3CDTF">1899-12-30T06:00:00Z</dcterms:created>
  <dcterms:modified xsi:type="dcterms:W3CDTF">2025-09-25T13:37:16Z</dcterms:modified>
  <cp:category/>
  <cp:contentStatus/>
  <dc:language/>
  <cp:version/>
</cp:coreProperties>
</file>